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2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ouisplanche/Documents/Projet d'EC (janco)/"/>
    </mc:Choice>
  </mc:AlternateContent>
  <xr:revisionPtr revIDLastSave="0" documentId="13_ncr:40009_{A24478FE-7515-A646-AD77-6D9557C41C90}" xr6:coauthVersionLast="45" xr6:coauthVersionMax="45" xr10:uidLastSave="{00000000-0000-0000-0000-000000000000}"/>
  <bookViews>
    <workbookView xWindow="11520" yWindow="4780" windowWidth="28040" windowHeight="17440"/>
  </bookViews>
  <sheets>
    <sheet name="USA" sheetId="1" r:id="rId1"/>
    <sheet name="Ouganda" sheetId="2" r:id="rId2"/>
    <sheet name="Norvège" sheetId="3" r:id="rId3"/>
  </sheets>
  <calcPr calcId="0"/>
</workbook>
</file>

<file path=xl/calcChain.xml><?xml version="1.0" encoding="utf-8"?>
<calcChain xmlns="http://schemas.openxmlformats.org/spreadsheetml/2006/main">
  <c r="D18" i="3" l="1"/>
  <c r="E18" i="3"/>
  <c r="F18" i="3"/>
  <c r="G18" i="3"/>
  <c r="H18" i="3"/>
  <c r="I18" i="3"/>
  <c r="J18" i="3"/>
  <c r="K18" i="3"/>
  <c r="L18" i="3"/>
  <c r="M18" i="3"/>
  <c r="M19" i="3" s="1"/>
  <c r="N18" i="3"/>
  <c r="N19" i="3" s="1"/>
  <c r="O18" i="3"/>
  <c r="O19" i="3" s="1"/>
  <c r="P18" i="3"/>
  <c r="P19" i="3" s="1"/>
  <c r="Q18" i="3"/>
  <c r="Q19" i="3" s="1"/>
  <c r="R18" i="3"/>
  <c r="R19" i="3" s="1"/>
  <c r="S18" i="3"/>
  <c r="S19" i="3" s="1"/>
  <c r="T18" i="3"/>
  <c r="U18" i="3"/>
  <c r="V18" i="3"/>
  <c r="W18" i="3"/>
  <c r="X18" i="3"/>
  <c r="Y18" i="3"/>
  <c r="Z18" i="3"/>
  <c r="Z19" i="3" s="1"/>
  <c r="AA18" i="3"/>
  <c r="AB18" i="3"/>
  <c r="AC18" i="3"/>
  <c r="AD18" i="3"/>
  <c r="AD19" i="3" s="1"/>
  <c r="AE18" i="3"/>
  <c r="AE19" i="3" s="1"/>
  <c r="AF18" i="3"/>
  <c r="AF19" i="3" s="1"/>
  <c r="AG18" i="3"/>
  <c r="AG19" i="3" s="1"/>
  <c r="AH18" i="3"/>
  <c r="AH19" i="3" s="1"/>
  <c r="AI18" i="3"/>
  <c r="AI19" i="3" s="1"/>
  <c r="AJ18" i="3"/>
  <c r="AK18" i="3"/>
  <c r="AL18" i="3"/>
  <c r="AM18" i="3"/>
  <c r="AN18" i="3"/>
  <c r="C18" i="3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Q19" i="1" s="1"/>
  <c r="R18" i="1"/>
  <c r="S18" i="1"/>
  <c r="S19" i="1" s="1"/>
  <c r="T18" i="1"/>
  <c r="U18" i="1"/>
  <c r="V18" i="1"/>
  <c r="W18" i="1"/>
  <c r="X18" i="1"/>
  <c r="Y18" i="1"/>
  <c r="Z18" i="1"/>
  <c r="AA18" i="1"/>
  <c r="AB18" i="1"/>
  <c r="AB19" i="1" s="1"/>
  <c r="AC18" i="1"/>
  <c r="AC19" i="1" s="1"/>
  <c r="AD18" i="1"/>
  <c r="AD19" i="1" s="1"/>
  <c r="AE18" i="1"/>
  <c r="AF18" i="1"/>
  <c r="AF19" i="1" s="1"/>
  <c r="AG18" i="1"/>
  <c r="AG19" i="1" s="1"/>
  <c r="AH18" i="1"/>
  <c r="AH19" i="1" s="1"/>
  <c r="AI18" i="1"/>
  <c r="AI19" i="1" s="1"/>
  <c r="AJ18" i="1"/>
  <c r="AK18" i="1"/>
  <c r="AL18" i="1"/>
  <c r="AM18" i="1"/>
  <c r="AN18" i="1"/>
  <c r="C18" i="1"/>
  <c r="AH29" i="3"/>
  <c r="AG29" i="3"/>
  <c r="Q29" i="3"/>
  <c r="P29" i="3"/>
  <c r="O29" i="3"/>
  <c r="AN28" i="3"/>
  <c r="AN29" i="3" s="1"/>
  <c r="AM28" i="3"/>
  <c r="AM29" i="3" s="1"/>
  <c r="AL28" i="3"/>
  <c r="AL29" i="3" s="1"/>
  <c r="AK28" i="3"/>
  <c r="AK29" i="3" s="1"/>
  <c r="AJ28" i="3"/>
  <c r="AJ29" i="3" s="1"/>
  <c r="AI28" i="3"/>
  <c r="AI29" i="3" s="1"/>
  <c r="AH28" i="3"/>
  <c r="AG28" i="3"/>
  <c r="AF28" i="3"/>
  <c r="AF29" i="3" s="1"/>
  <c r="AE28" i="3"/>
  <c r="AE29" i="3" s="1"/>
  <c r="AD28" i="3"/>
  <c r="AD29" i="3" s="1"/>
  <c r="AC28" i="3"/>
  <c r="AC29" i="3" s="1"/>
  <c r="AB28" i="3"/>
  <c r="AB29" i="3" s="1"/>
  <c r="AA28" i="3"/>
  <c r="AA29" i="3" s="1"/>
  <c r="Z28" i="3"/>
  <c r="Z29" i="3" s="1"/>
  <c r="Y28" i="3"/>
  <c r="Y29" i="3" s="1"/>
  <c r="X28" i="3"/>
  <c r="X29" i="3" s="1"/>
  <c r="W28" i="3"/>
  <c r="W29" i="3" s="1"/>
  <c r="V28" i="3"/>
  <c r="V29" i="3" s="1"/>
  <c r="U28" i="3"/>
  <c r="U29" i="3" s="1"/>
  <c r="T28" i="3"/>
  <c r="T29" i="3" s="1"/>
  <c r="S28" i="3"/>
  <c r="S29" i="3" s="1"/>
  <c r="R28" i="3"/>
  <c r="R29" i="3" s="1"/>
  <c r="Q28" i="3"/>
  <c r="P28" i="3"/>
  <c r="O28" i="3"/>
  <c r="N28" i="3"/>
  <c r="N29" i="3" s="1"/>
  <c r="M28" i="3"/>
  <c r="M29" i="3" s="1"/>
  <c r="L28" i="3"/>
  <c r="L29" i="3" s="1"/>
  <c r="K28" i="3"/>
  <c r="K29" i="3" s="1"/>
  <c r="J28" i="3"/>
  <c r="J29" i="3" s="1"/>
  <c r="I28" i="3"/>
  <c r="I29" i="3" s="1"/>
  <c r="H28" i="3"/>
  <c r="H29" i="3" s="1"/>
  <c r="G28" i="3"/>
  <c r="G29" i="3" s="1"/>
  <c r="F28" i="3"/>
  <c r="F29" i="3" s="1"/>
  <c r="E28" i="3"/>
  <c r="E29" i="3" s="1"/>
  <c r="D28" i="3"/>
  <c r="D29" i="3" s="1"/>
  <c r="C28" i="3"/>
  <c r="C29" i="3" s="1"/>
  <c r="AJ24" i="3"/>
  <c r="V24" i="3"/>
  <c r="U24" i="3"/>
  <c r="T24" i="3"/>
  <c r="R24" i="3"/>
  <c r="Q24" i="3"/>
  <c r="F24" i="3"/>
  <c r="E24" i="3"/>
  <c r="D24" i="3"/>
  <c r="C24" i="3"/>
  <c r="AN23" i="3"/>
  <c r="AN24" i="3" s="1"/>
  <c r="AM23" i="3"/>
  <c r="AM24" i="3" s="1"/>
  <c r="AL23" i="3"/>
  <c r="AL24" i="3" s="1"/>
  <c r="AK23" i="3"/>
  <c r="AK24" i="3" s="1"/>
  <c r="AJ23" i="3"/>
  <c r="AI23" i="3"/>
  <c r="AI24" i="3" s="1"/>
  <c r="AH23" i="3"/>
  <c r="AH24" i="3" s="1"/>
  <c r="AG23" i="3"/>
  <c r="AG24" i="3" s="1"/>
  <c r="AF23" i="3"/>
  <c r="AF24" i="3" s="1"/>
  <c r="AE23" i="3"/>
  <c r="AE24" i="3" s="1"/>
  <c r="AD23" i="3"/>
  <c r="AD24" i="3" s="1"/>
  <c r="AC23" i="3"/>
  <c r="AC24" i="3" s="1"/>
  <c r="AB23" i="3"/>
  <c r="AB24" i="3" s="1"/>
  <c r="AA23" i="3"/>
  <c r="AA24" i="3" s="1"/>
  <c r="Z23" i="3"/>
  <c r="Z24" i="3" s="1"/>
  <c r="Y23" i="3"/>
  <c r="Y24" i="3" s="1"/>
  <c r="X23" i="3"/>
  <c r="X24" i="3" s="1"/>
  <c r="W23" i="3"/>
  <c r="W24" i="3" s="1"/>
  <c r="V23" i="3"/>
  <c r="U23" i="3"/>
  <c r="T23" i="3"/>
  <c r="S23" i="3"/>
  <c r="S24" i="3" s="1"/>
  <c r="R23" i="3"/>
  <c r="Q23" i="3"/>
  <c r="P23" i="3"/>
  <c r="P24" i="3" s="1"/>
  <c r="O23" i="3"/>
  <c r="O24" i="3" s="1"/>
  <c r="N23" i="3"/>
  <c r="N24" i="3" s="1"/>
  <c r="M23" i="3"/>
  <c r="M24" i="3" s="1"/>
  <c r="L23" i="3"/>
  <c r="L24" i="3" s="1"/>
  <c r="K23" i="3"/>
  <c r="K24" i="3" s="1"/>
  <c r="J23" i="3"/>
  <c r="J24" i="3" s="1"/>
  <c r="I23" i="3"/>
  <c r="I24" i="3" s="1"/>
  <c r="H23" i="3"/>
  <c r="H24" i="3" s="1"/>
  <c r="G23" i="3"/>
  <c r="G24" i="3" s="1"/>
  <c r="F23" i="3"/>
  <c r="E23" i="3"/>
  <c r="D23" i="3"/>
  <c r="C23" i="3"/>
  <c r="AN19" i="3"/>
  <c r="AM19" i="3"/>
  <c r="AL19" i="3"/>
  <c r="AK19" i="3"/>
  <c r="AJ19" i="3"/>
  <c r="X19" i="3"/>
  <c r="W19" i="3"/>
  <c r="V19" i="3"/>
  <c r="U19" i="3"/>
  <c r="T19" i="3"/>
  <c r="H19" i="3"/>
  <c r="G19" i="3"/>
  <c r="F19" i="3"/>
  <c r="E19" i="3"/>
  <c r="D19" i="3"/>
  <c r="C19" i="3"/>
  <c r="AC19" i="3"/>
  <c r="AB19" i="3"/>
  <c r="AA19" i="3"/>
  <c r="Y19" i="3"/>
  <c r="L19" i="3"/>
  <c r="K19" i="3"/>
  <c r="J19" i="3"/>
  <c r="I19" i="3"/>
  <c r="W14" i="3"/>
  <c r="V14" i="3"/>
  <c r="U14" i="3"/>
  <c r="I14" i="3"/>
  <c r="G14" i="3"/>
  <c r="F14" i="3"/>
  <c r="E14" i="3"/>
  <c r="AN13" i="3"/>
  <c r="AN14" i="3" s="1"/>
  <c r="AM13" i="3"/>
  <c r="AM14" i="3" s="1"/>
  <c r="AL13" i="3"/>
  <c r="AL14" i="3" s="1"/>
  <c r="AK13" i="3"/>
  <c r="AK14" i="3" s="1"/>
  <c r="AJ13" i="3"/>
  <c r="AJ14" i="3" s="1"/>
  <c r="AI13" i="3"/>
  <c r="AI14" i="3" s="1"/>
  <c r="AH13" i="3"/>
  <c r="AH14" i="3" s="1"/>
  <c r="AG13" i="3"/>
  <c r="AG14" i="3" s="1"/>
  <c r="AF13" i="3"/>
  <c r="AF14" i="3" s="1"/>
  <c r="AE13" i="3"/>
  <c r="AE14" i="3" s="1"/>
  <c r="AD13" i="3"/>
  <c r="AD14" i="3" s="1"/>
  <c r="AC13" i="3"/>
  <c r="AC14" i="3" s="1"/>
  <c r="AB13" i="3"/>
  <c r="AB14" i="3" s="1"/>
  <c r="AA13" i="3"/>
  <c r="AA14" i="3" s="1"/>
  <c r="Z13" i="3"/>
  <c r="Z14" i="3" s="1"/>
  <c r="Y13" i="3"/>
  <c r="Y14" i="3" s="1"/>
  <c r="X13" i="3"/>
  <c r="X14" i="3" s="1"/>
  <c r="W13" i="3"/>
  <c r="V13" i="3"/>
  <c r="U13" i="3"/>
  <c r="T13" i="3"/>
  <c r="T14" i="3" s="1"/>
  <c r="S13" i="3"/>
  <c r="S14" i="3" s="1"/>
  <c r="R13" i="3"/>
  <c r="R14" i="3" s="1"/>
  <c r="Q13" i="3"/>
  <c r="Q14" i="3" s="1"/>
  <c r="P13" i="3"/>
  <c r="P14" i="3" s="1"/>
  <c r="O13" i="3"/>
  <c r="O14" i="3" s="1"/>
  <c r="N13" i="3"/>
  <c r="N14" i="3" s="1"/>
  <c r="M13" i="3"/>
  <c r="M14" i="3" s="1"/>
  <c r="L13" i="3"/>
  <c r="L14" i="3" s="1"/>
  <c r="K13" i="3"/>
  <c r="K14" i="3" s="1"/>
  <c r="J13" i="3"/>
  <c r="J14" i="3" s="1"/>
  <c r="I13" i="3"/>
  <c r="H13" i="3"/>
  <c r="H14" i="3" s="1"/>
  <c r="H10" i="3" s="1"/>
  <c r="G13" i="3"/>
  <c r="F13" i="3"/>
  <c r="E13" i="3"/>
  <c r="D13" i="3"/>
  <c r="D14" i="3" s="1"/>
  <c r="C13" i="3"/>
  <c r="C14" i="3" s="1"/>
  <c r="AN9" i="3"/>
  <c r="AM9" i="3"/>
  <c r="AL9" i="3"/>
  <c r="AK9" i="3"/>
  <c r="AJ9" i="3"/>
  <c r="AI9" i="3"/>
  <c r="AH9" i="3"/>
  <c r="AG9" i="3"/>
  <c r="AF9" i="3"/>
  <c r="AE9" i="3"/>
  <c r="AD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D18" i="2"/>
  <c r="E18" i="2"/>
  <c r="F18" i="2"/>
  <c r="G18" i="2"/>
  <c r="H18" i="2"/>
  <c r="H19" i="2" s="1"/>
  <c r="I18" i="2"/>
  <c r="I19" i="2" s="1"/>
  <c r="J18" i="2"/>
  <c r="K18" i="2"/>
  <c r="L18" i="2"/>
  <c r="M18" i="2"/>
  <c r="N18" i="2"/>
  <c r="O18" i="2"/>
  <c r="O19" i="2" s="1"/>
  <c r="P18" i="2"/>
  <c r="Q18" i="2"/>
  <c r="Q19" i="2" s="1"/>
  <c r="R18" i="2"/>
  <c r="R19" i="2" s="1"/>
  <c r="S18" i="2"/>
  <c r="S19" i="2" s="1"/>
  <c r="T18" i="2"/>
  <c r="U18" i="2"/>
  <c r="V18" i="2"/>
  <c r="W18" i="2"/>
  <c r="X18" i="2"/>
  <c r="X19" i="2" s="1"/>
  <c r="Y18" i="2"/>
  <c r="Z18" i="2"/>
  <c r="Z19" i="2" s="1"/>
  <c r="AA18" i="2"/>
  <c r="AB18" i="2"/>
  <c r="AB19" i="2" s="1"/>
  <c r="AC18" i="2"/>
  <c r="AC19" i="2" s="1"/>
  <c r="AD18" i="2"/>
  <c r="AD19" i="2" s="1"/>
  <c r="AE18" i="2"/>
  <c r="AE19" i="2" s="1"/>
  <c r="AF18" i="2"/>
  <c r="AF19" i="2" s="1"/>
  <c r="AG18" i="2"/>
  <c r="AG19" i="2" s="1"/>
  <c r="AH18" i="2"/>
  <c r="AH19" i="2" s="1"/>
  <c r="AI18" i="2"/>
  <c r="AI19" i="2" s="1"/>
  <c r="AJ18" i="2"/>
  <c r="AK18" i="2"/>
  <c r="AL18" i="2"/>
  <c r="AM18" i="2"/>
  <c r="AN18" i="2"/>
  <c r="C18" i="2"/>
  <c r="AN28" i="2"/>
  <c r="AN29" i="2" s="1"/>
  <c r="AM28" i="2"/>
  <c r="AM29" i="2" s="1"/>
  <c r="AL28" i="2"/>
  <c r="AL29" i="2" s="1"/>
  <c r="AK28" i="2"/>
  <c r="AK29" i="2" s="1"/>
  <c r="AJ28" i="2"/>
  <c r="AJ29" i="2" s="1"/>
  <c r="AI28" i="2"/>
  <c r="AI29" i="2" s="1"/>
  <c r="AH28" i="2"/>
  <c r="AH29" i="2" s="1"/>
  <c r="AG28" i="2"/>
  <c r="AG29" i="2" s="1"/>
  <c r="AF28" i="2"/>
  <c r="AF29" i="2" s="1"/>
  <c r="AE28" i="2"/>
  <c r="AE29" i="2" s="1"/>
  <c r="AD28" i="2"/>
  <c r="AD29" i="2" s="1"/>
  <c r="AC28" i="2"/>
  <c r="AC29" i="2" s="1"/>
  <c r="AB28" i="2"/>
  <c r="AB29" i="2" s="1"/>
  <c r="AA28" i="2"/>
  <c r="AA29" i="2" s="1"/>
  <c r="Z28" i="2"/>
  <c r="Z29" i="2" s="1"/>
  <c r="Y28" i="2"/>
  <c r="Y29" i="2" s="1"/>
  <c r="X28" i="2"/>
  <c r="X29" i="2" s="1"/>
  <c r="W28" i="2"/>
  <c r="W29" i="2" s="1"/>
  <c r="V28" i="2"/>
  <c r="V29" i="2" s="1"/>
  <c r="U28" i="2"/>
  <c r="U29" i="2" s="1"/>
  <c r="T28" i="2"/>
  <c r="T29" i="2" s="1"/>
  <c r="S28" i="2"/>
  <c r="S29" i="2" s="1"/>
  <c r="R28" i="2"/>
  <c r="R29" i="2" s="1"/>
  <c r="Q28" i="2"/>
  <c r="Q29" i="2" s="1"/>
  <c r="P28" i="2"/>
  <c r="P29" i="2" s="1"/>
  <c r="O28" i="2"/>
  <c r="O29" i="2" s="1"/>
  <c r="N28" i="2"/>
  <c r="N29" i="2" s="1"/>
  <c r="M28" i="2"/>
  <c r="M29" i="2" s="1"/>
  <c r="L28" i="2"/>
  <c r="L29" i="2" s="1"/>
  <c r="K28" i="2"/>
  <c r="K29" i="2" s="1"/>
  <c r="J28" i="2"/>
  <c r="J29" i="2" s="1"/>
  <c r="I28" i="2"/>
  <c r="I29" i="2" s="1"/>
  <c r="H28" i="2"/>
  <c r="H29" i="2" s="1"/>
  <c r="G28" i="2"/>
  <c r="G29" i="2" s="1"/>
  <c r="F28" i="2"/>
  <c r="F29" i="2" s="1"/>
  <c r="E28" i="2"/>
  <c r="E29" i="2" s="1"/>
  <c r="D28" i="2"/>
  <c r="D29" i="2" s="1"/>
  <c r="C28" i="2"/>
  <c r="C29" i="2" s="1"/>
  <c r="AF24" i="2"/>
  <c r="O24" i="2"/>
  <c r="AN23" i="2"/>
  <c r="AN24" i="2" s="1"/>
  <c r="AM23" i="2"/>
  <c r="AM24" i="2" s="1"/>
  <c r="AL23" i="2"/>
  <c r="AL24" i="2" s="1"/>
  <c r="AK23" i="2"/>
  <c r="AK24" i="2" s="1"/>
  <c r="AJ23" i="2"/>
  <c r="AJ24" i="2" s="1"/>
  <c r="AI23" i="2"/>
  <c r="AI24" i="2" s="1"/>
  <c r="AH23" i="2"/>
  <c r="AH24" i="2" s="1"/>
  <c r="AG23" i="2"/>
  <c r="AG24" i="2" s="1"/>
  <c r="AF23" i="2"/>
  <c r="AE23" i="2"/>
  <c r="AE24" i="2" s="1"/>
  <c r="AD23" i="2"/>
  <c r="AD24" i="2" s="1"/>
  <c r="AC23" i="2"/>
  <c r="AC24" i="2" s="1"/>
  <c r="AB23" i="2"/>
  <c r="AB24" i="2" s="1"/>
  <c r="AA23" i="2"/>
  <c r="AA24" i="2" s="1"/>
  <c r="Z23" i="2"/>
  <c r="Z24" i="2" s="1"/>
  <c r="Y23" i="2"/>
  <c r="Y24" i="2" s="1"/>
  <c r="X23" i="2"/>
  <c r="X24" i="2" s="1"/>
  <c r="W23" i="2"/>
  <c r="W24" i="2" s="1"/>
  <c r="V23" i="2"/>
  <c r="V24" i="2" s="1"/>
  <c r="U23" i="2"/>
  <c r="U24" i="2" s="1"/>
  <c r="T23" i="2"/>
  <c r="T24" i="2" s="1"/>
  <c r="S23" i="2"/>
  <c r="S24" i="2" s="1"/>
  <c r="R23" i="2"/>
  <c r="R24" i="2" s="1"/>
  <c r="Q23" i="2"/>
  <c r="Q24" i="2" s="1"/>
  <c r="P23" i="2"/>
  <c r="P24" i="2" s="1"/>
  <c r="O23" i="2"/>
  <c r="N23" i="2"/>
  <c r="N24" i="2" s="1"/>
  <c r="M23" i="2"/>
  <c r="M24" i="2" s="1"/>
  <c r="L23" i="2"/>
  <c r="L24" i="2" s="1"/>
  <c r="K23" i="2"/>
  <c r="K24" i="2" s="1"/>
  <c r="J23" i="2"/>
  <c r="J24" i="2" s="1"/>
  <c r="I23" i="2"/>
  <c r="I24" i="2" s="1"/>
  <c r="H23" i="2"/>
  <c r="H24" i="2" s="1"/>
  <c r="G23" i="2"/>
  <c r="G24" i="2" s="1"/>
  <c r="F23" i="2"/>
  <c r="F24" i="2" s="1"/>
  <c r="E23" i="2"/>
  <c r="E24" i="2" s="1"/>
  <c r="D23" i="2"/>
  <c r="D24" i="2" s="1"/>
  <c r="C23" i="2"/>
  <c r="C24" i="2" s="1"/>
  <c r="AL19" i="2"/>
  <c r="AJ19" i="2"/>
  <c r="V19" i="2"/>
  <c r="T19" i="2"/>
  <c r="M19" i="2"/>
  <c r="F19" i="2"/>
  <c r="D19" i="2"/>
  <c r="AN19" i="2"/>
  <c r="AM19" i="2"/>
  <c r="AK19" i="2"/>
  <c r="AA19" i="2"/>
  <c r="Y19" i="2"/>
  <c r="W19" i="2"/>
  <c r="U19" i="2"/>
  <c r="P19" i="2"/>
  <c r="N19" i="2"/>
  <c r="L19" i="2"/>
  <c r="K19" i="2"/>
  <c r="J19" i="2"/>
  <c r="G19" i="2"/>
  <c r="E19" i="2"/>
  <c r="C19" i="2"/>
  <c r="AN14" i="2"/>
  <c r="AJ14" i="2"/>
  <c r="T14" i="2"/>
  <c r="S14" i="2"/>
  <c r="Q14" i="2"/>
  <c r="O14" i="2"/>
  <c r="D14" i="2"/>
  <c r="C14" i="2"/>
  <c r="AN13" i="2"/>
  <c r="AM13" i="2"/>
  <c r="AM14" i="2" s="1"/>
  <c r="AL13" i="2"/>
  <c r="AL14" i="2" s="1"/>
  <c r="AK13" i="2"/>
  <c r="AK14" i="2" s="1"/>
  <c r="AJ13" i="2"/>
  <c r="AI13" i="2"/>
  <c r="AI14" i="2" s="1"/>
  <c r="AH13" i="2"/>
  <c r="AH14" i="2" s="1"/>
  <c r="AG13" i="2"/>
  <c r="AG14" i="2" s="1"/>
  <c r="AF13" i="2"/>
  <c r="AF14" i="2" s="1"/>
  <c r="AE13" i="2"/>
  <c r="AE14" i="2" s="1"/>
  <c r="AD13" i="2"/>
  <c r="AD14" i="2" s="1"/>
  <c r="AC13" i="2"/>
  <c r="AC14" i="2" s="1"/>
  <c r="AB13" i="2"/>
  <c r="AB14" i="2" s="1"/>
  <c r="AA13" i="2"/>
  <c r="AA14" i="2" s="1"/>
  <c r="Z13" i="2"/>
  <c r="Z14" i="2" s="1"/>
  <c r="Y13" i="2"/>
  <c r="Y14" i="2" s="1"/>
  <c r="X13" i="2"/>
  <c r="X14" i="2" s="1"/>
  <c r="W13" i="2"/>
  <c r="W14" i="2" s="1"/>
  <c r="V13" i="2"/>
  <c r="V14" i="2" s="1"/>
  <c r="U13" i="2"/>
  <c r="U14" i="2" s="1"/>
  <c r="T13" i="2"/>
  <c r="S13" i="2"/>
  <c r="R13" i="2"/>
  <c r="R14" i="2" s="1"/>
  <c r="Q13" i="2"/>
  <c r="P13" i="2"/>
  <c r="P14" i="2" s="1"/>
  <c r="O13" i="2"/>
  <c r="N13" i="2"/>
  <c r="N14" i="2" s="1"/>
  <c r="M13" i="2"/>
  <c r="M14" i="2" s="1"/>
  <c r="L13" i="2"/>
  <c r="L14" i="2" s="1"/>
  <c r="K13" i="2"/>
  <c r="K14" i="2" s="1"/>
  <c r="J13" i="2"/>
  <c r="J14" i="2" s="1"/>
  <c r="I13" i="2"/>
  <c r="I14" i="2" s="1"/>
  <c r="H13" i="2"/>
  <c r="H14" i="2" s="1"/>
  <c r="G13" i="2"/>
  <c r="G14" i="2" s="1"/>
  <c r="F13" i="2"/>
  <c r="F14" i="2" s="1"/>
  <c r="E13" i="2"/>
  <c r="E14" i="2" s="1"/>
  <c r="D13" i="2"/>
  <c r="C13" i="2"/>
  <c r="AN9" i="2"/>
  <c r="AM9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Z30" i="1"/>
  <c r="Z25" i="1"/>
  <c r="F29" i="1"/>
  <c r="G29" i="1"/>
  <c r="H29" i="1"/>
  <c r="I29" i="1"/>
  <c r="J29" i="1"/>
  <c r="K29" i="1"/>
  <c r="L29" i="1"/>
  <c r="M29" i="1"/>
  <c r="V29" i="1"/>
  <c r="W29" i="1"/>
  <c r="X29" i="1"/>
  <c r="Y29" i="1"/>
  <c r="Z29" i="1"/>
  <c r="AA29" i="1"/>
  <c r="AB29" i="1"/>
  <c r="AC29" i="1"/>
  <c r="AL29" i="1"/>
  <c r="AM29" i="1"/>
  <c r="AN29" i="1"/>
  <c r="D24" i="1"/>
  <c r="E24" i="1"/>
  <c r="F24" i="1"/>
  <c r="G24" i="1"/>
  <c r="Q24" i="1"/>
  <c r="R24" i="1"/>
  <c r="S24" i="1"/>
  <c r="T24" i="1"/>
  <c r="U24" i="1"/>
  <c r="V24" i="1"/>
  <c r="W24" i="1"/>
  <c r="AG24" i="1"/>
  <c r="AH24" i="1"/>
  <c r="AI24" i="1"/>
  <c r="AJ24" i="1"/>
  <c r="AK24" i="1"/>
  <c r="AL24" i="1"/>
  <c r="AM24" i="1"/>
  <c r="L19" i="1"/>
  <c r="M19" i="1"/>
  <c r="N19" i="1"/>
  <c r="O19" i="1"/>
  <c r="P19" i="1"/>
  <c r="AE19" i="1"/>
  <c r="D14" i="1"/>
  <c r="E14" i="1"/>
  <c r="F14" i="1"/>
  <c r="G14" i="1"/>
  <c r="H14" i="1"/>
  <c r="I14" i="1"/>
  <c r="J14" i="1"/>
  <c r="K14" i="1"/>
  <c r="T14" i="1"/>
  <c r="T10" i="1" s="1"/>
  <c r="T15" i="1" s="1"/>
  <c r="U14" i="1"/>
  <c r="V14" i="1"/>
  <c r="W14" i="1"/>
  <c r="X14" i="1"/>
  <c r="Y14" i="1"/>
  <c r="Z14" i="1"/>
  <c r="Z10" i="1" s="1"/>
  <c r="Z15" i="1" s="1"/>
  <c r="AA14" i="1"/>
  <c r="AJ14" i="1"/>
  <c r="AK14" i="1"/>
  <c r="AL14" i="1"/>
  <c r="AM14" i="1"/>
  <c r="AN14" i="1"/>
  <c r="C14" i="1"/>
  <c r="D28" i="1"/>
  <c r="D29" i="1" s="1"/>
  <c r="E28" i="1"/>
  <c r="E29" i="1" s="1"/>
  <c r="F28" i="1"/>
  <c r="G28" i="1"/>
  <c r="H28" i="1"/>
  <c r="I28" i="1"/>
  <c r="J28" i="1"/>
  <c r="K28" i="1"/>
  <c r="L28" i="1"/>
  <c r="M28" i="1"/>
  <c r="N28" i="1"/>
  <c r="N29" i="1" s="1"/>
  <c r="O28" i="1"/>
  <c r="O29" i="1" s="1"/>
  <c r="P28" i="1"/>
  <c r="P29" i="1" s="1"/>
  <c r="Q28" i="1"/>
  <c r="Q29" i="1" s="1"/>
  <c r="R28" i="1"/>
  <c r="R29" i="1" s="1"/>
  <c r="S28" i="1"/>
  <c r="S29" i="1" s="1"/>
  <c r="T28" i="1"/>
  <c r="T29" i="1" s="1"/>
  <c r="U28" i="1"/>
  <c r="U29" i="1" s="1"/>
  <c r="V28" i="1"/>
  <c r="W28" i="1"/>
  <c r="X28" i="1"/>
  <c r="Y28" i="1"/>
  <c r="Z28" i="1"/>
  <c r="AA28" i="1"/>
  <c r="AB28" i="1"/>
  <c r="AC28" i="1"/>
  <c r="AD28" i="1"/>
  <c r="AD29" i="1" s="1"/>
  <c r="AE28" i="1"/>
  <c r="AE29" i="1" s="1"/>
  <c r="AF28" i="1"/>
  <c r="AF29" i="1" s="1"/>
  <c r="AG28" i="1"/>
  <c r="AG29" i="1" s="1"/>
  <c r="AH28" i="1"/>
  <c r="AH29" i="1" s="1"/>
  <c r="AI28" i="1"/>
  <c r="AI29" i="1" s="1"/>
  <c r="AJ28" i="1"/>
  <c r="AJ29" i="1" s="1"/>
  <c r="AK28" i="1"/>
  <c r="AK29" i="1" s="1"/>
  <c r="AL28" i="1"/>
  <c r="AM28" i="1"/>
  <c r="AN28" i="1"/>
  <c r="D23" i="1"/>
  <c r="E23" i="1"/>
  <c r="F23" i="1"/>
  <c r="G23" i="1"/>
  <c r="H23" i="1"/>
  <c r="H24" i="1" s="1"/>
  <c r="I23" i="1"/>
  <c r="I24" i="1" s="1"/>
  <c r="J23" i="1"/>
  <c r="J24" i="1" s="1"/>
  <c r="K23" i="1"/>
  <c r="K24" i="1" s="1"/>
  <c r="L23" i="1"/>
  <c r="L24" i="1" s="1"/>
  <c r="M23" i="1"/>
  <c r="M24" i="1" s="1"/>
  <c r="N23" i="1"/>
  <c r="N24" i="1" s="1"/>
  <c r="O23" i="1"/>
  <c r="O24" i="1" s="1"/>
  <c r="P23" i="1"/>
  <c r="P24" i="1" s="1"/>
  <c r="Q23" i="1"/>
  <c r="R23" i="1"/>
  <c r="S23" i="1"/>
  <c r="T23" i="1"/>
  <c r="U23" i="1"/>
  <c r="V23" i="1"/>
  <c r="W23" i="1"/>
  <c r="X23" i="1"/>
  <c r="X24" i="1" s="1"/>
  <c r="Y23" i="1"/>
  <c r="Y24" i="1" s="1"/>
  <c r="Z23" i="1"/>
  <c r="Z24" i="1" s="1"/>
  <c r="AA23" i="1"/>
  <c r="AA24" i="1" s="1"/>
  <c r="AB23" i="1"/>
  <c r="AB24" i="1" s="1"/>
  <c r="AC23" i="1"/>
  <c r="AC24" i="1" s="1"/>
  <c r="AD23" i="1"/>
  <c r="AD24" i="1" s="1"/>
  <c r="AE23" i="1"/>
  <c r="AE24" i="1" s="1"/>
  <c r="AF23" i="1"/>
  <c r="AF24" i="1" s="1"/>
  <c r="AG23" i="1"/>
  <c r="AH23" i="1"/>
  <c r="AI23" i="1"/>
  <c r="AJ23" i="1"/>
  <c r="AK23" i="1"/>
  <c r="AL23" i="1"/>
  <c r="AM23" i="1"/>
  <c r="AN23" i="1"/>
  <c r="AN24" i="1" s="1"/>
  <c r="D19" i="1"/>
  <c r="E19" i="1"/>
  <c r="F19" i="1"/>
  <c r="G19" i="1"/>
  <c r="H19" i="1"/>
  <c r="I19" i="1"/>
  <c r="J19" i="1"/>
  <c r="K19" i="1"/>
  <c r="R19" i="1"/>
  <c r="T19" i="1"/>
  <c r="U19" i="1"/>
  <c r="V19" i="1"/>
  <c r="W19" i="1"/>
  <c r="X19" i="1"/>
  <c r="Y19" i="1"/>
  <c r="Z19" i="1"/>
  <c r="Z20" i="1" s="1"/>
  <c r="AA19" i="1"/>
  <c r="AJ19" i="1"/>
  <c r="AK19" i="1"/>
  <c r="AL19" i="1"/>
  <c r="AM19" i="1"/>
  <c r="AN19" i="1"/>
  <c r="C28" i="1"/>
  <c r="C29" i="1" s="1"/>
  <c r="C23" i="1"/>
  <c r="C24" i="1" s="1"/>
  <c r="C19" i="1"/>
  <c r="D13" i="1"/>
  <c r="E13" i="1"/>
  <c r="F13" i="1"/>
  <c r="G13" i="1"/>
  <c r="H13" i="1"/>
  <c r="I13" i="1"/>
  <c r="J13" i="1"/>
  <c r="K13" i="1"/>
  <c r="L13" i="1"/>
  <c r="L14" i="1" s="1"/>
  <c r="M13" i="1"/>
  <c r="M14" i="1" s="1"/>
  <c r="N13" i="1"/>
  <c r="N14" i="1" s="1"/>
  <c r="O13" i="1"/>
  <c r="O14" i="1" s="1"/>
  <c r="P13" i="1"/>
  <c r="P14" i="1" s="1"/>
  <c r="Q13" i="1"/>
  <c r="Q14" i="1" s="1"/>
  <c r="R13" i="1"/>
  <c r="R14" i="1" s="1"/>
  <c r="S13" i="1"/>
  <c r="S14" i="1" s="1"/>
  <c r="T13" i="1"/>
  <c r="U13" i="1"/>
  <c r="V13" i="1"/>
  <c r="W13" i="1"/>
  <c r="X13" i="1"/>
  <c r="Y13" i="1"/>
  <c r="Z13" i="1"/>
  <c r="AA13" i="1"/>
  <c r="AB13" i="1"/>
  <c r="AB14" i="1" s="1"/>
  <c r="AC13" i="1"/>
  <c r="AC14" i="1" s="1"/>
  <c r="AD13" i="1"/>
  <c r="AD14" i="1" s="1"/>
  <c r="AE13" i="1"/>
  <c r="AE14" i="1" s="1"/>
  <c r="AF13" i="1"/>
  <c r="AF14" i="1" s="1"/>
  <c r="AG13" i="1"/>
  <c r="AG14" i="1" s="1"/>
  <c r="AH13" i="1"/>
  <c r="AH14" i="1" s="1"/>
  <c r="AI13" i="1"/>
  <c r="AI14" i="1" s="1"/>
  <c r="AJ13" i="1"/>
  <c r="AK13" i="1"/>
  <c r="AL13" i="1"/>
  <c r="AM13" i="1"/>
  <c r="AN13" i="1"/>
  <c r="C13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C9" i="1"/>
  <c r="AL10" i="3" l="1"/>
  <c r="E10" i="3"/>
  <c r="AL20" i="3"/>
  <c r="U10" i="3"/>
  <c r="E20" i="3"/>
  <c r="AG20" i="1"/>
  <c r="AC20" i="1"/>
  <c r="P20" i="1"/>
  <c r="Y20" i="1"/>
  <c r="X20" i="1"/>
  <c r="AH20" i="1"/>
  <c r="H20" i="1"/>
  <c r="I20" i="1"/>
  <c r="Q20" i="1"/>
  <c r="E20" i="1"/>
  <c r="T20" i="1"/>
  <c r="T25" i="1"/>
  <c r="X10" i="1"/>
  <c r="AI10" i="1"/>
  <c r="AI20" i="1" s="1"/>
  <c r="S10" i="1"/>
  <c r="W10" i="1"/>
  <c r="T30" i="1"/>
  <c r="I10" i="1"/>
  <c r="V10" i="1"/>
  <c r="Y10" i="1"/>
  <c r="AG10" i="1"/>
  <c r="Q10" i="1"/>
  <c r="U10" i="1"/>
  <c r="AE10" i="3"/>
  <c r="AE25" i="3" s="1"/>
  <c r="M30" i="3"/>
  <c r="AH25" i="3"/>
  <c r="AI10" i="3"/>
  <c r="AI25" i="3" s="1"/>
  <c r="Y10" i="3"/>
  <c r="Y30" i="3" s="1"/>
  <c r="M10" i="3"/>
  <c r="M15" i="3" s="1"/>
  <c r="AG10" i="3"/>
  <c r="AG30" i="3" s="1"/>
  <c r="D10" i="3"/>
  <c r="D25" i="3" s="1"/>
  <c r="D15" i="3"/>
  <c r="T10" i="3"/>
  <c r="T25" i="3" s="1"/>
  <c r="T15" i="3"/>
  <c r="AJ10" i="3"/>
  <c r="AJ20" i="3" s="1"/>
  <c r="H20" i="3"/>
  <c r="AJ25" i="3"/>
  <c r="T30" i="3"/>
  <c r="AA10" i="3"/>
  <c r="AA20" i="3" s="1"/>
  <c r="O10" i="3"/>
  <c r="O15" i="3" s="1"/>
  <c r="U25" i="3"/>
  <c r="AF10" i="3"/>
  <c r="AF20" i="3" s="1"/>
  <c r="M25" i="3"/>
  <c r="L10" i="3"/>
  <c r="L20" i="3" s="1"/>
  <c r="R10" i="3"/>
  <c r="R30" i="3" s="1"/>
  <c r="X10" i="3"/>
  <c r="X20" i="3" s="1"/>
  <c r="C10" i="3"/>
  <c r="C20" i="3" s="1"/>
  <c r="H25" i="3"/>
  <c r="AL25" i="3"/>
  <c r="AC10" i="3"/>
  <c r="AC30" i="3" s="1"/>
  <c r="AD10" i="3"/>
  <c r="AD15" i="3" s="1"/>
  <c r="P10" i="3"/>
  <c r="P20" i="3" s="1"/>
  <c r="Q10" i="3"/>
  <c r="Q25" i="3" s="1"/>
  <c r="AM10" i="3"/>
  <c r="AM30" i="3" s="1"/>
  <c r="U20" i="3"/>
  <c r="H30" i="3"/>
  <c r="AN10" i="3"/>
  <c r="AN25" i="3" s="1"/>
  <c r="W10" i="3"/>
  <c r="W25" i="3" s="1"/>
  <c r="AH10" i="3"/>
  <c r="AH15" i="3" s="1"/>
  <c r="S10" i="3"/>
  <c r="S30" i="3" s="1"/>
  <c r="S20" i="3"/>
  <c r="E25" i="3"/>
  <c r="E30" i="3"/>
  <c r="U30" i="3"/>
  <c r="K10" i="3"/>
  <c r="K30" i="3" s="1"/>
  <c r="AB10" i="3"/>
  <c r="AB15" i="3" s="1"/>
  <c r="N10" i="3"/>
  <c r="N30" i="3" s="1"/>
  <c r="AB30" i="3"/>
  <c r="AL30" i="3"/>
  <c r="AK10" i="3"/>
  <c r="AK30" i="3" s="1"/>
  <c r="V10" i="3"/>
  <c r="V25" i="3" s="1"/>
  <c r="G10" i="3"/>
  <c r="G20" i="3" s="1"/>
  <c r="U15" i="3"/>
  <c r="AL15" i="3"/>
  <c r="J10" i="3"/>
  <c r="J20" i="3" s="1"/>
  <c r="Z10" i="3"/>
  <c r="Z25" i="3" s="1"/>
  <c r="H15" i="3"/>
  <c r="E15" i="3"/>
  <c r="I10" i="3"/>
  <c r="I30" i="3" s="1"/>
  <c r="F10" i="3"/>
  <c r="F15" i="3" s="1"/>
  <c r="G10" i="2"/>
  <c r="G15" i="2" s="1"/>
  <c r="W10" i="2"/>
  <c r="W20" i="2" s="1"/>
  <c r="AM10" i="2"/>
  <c r="AM30" i="2" s="1"/>
  <c r="I10" i="2"/>
  <c r="I30" i="2" s="1"/>
  <c r="Y10" i="2"/>
  <c r="Y30" i="2" s="1"/>
  <c r="C10" i="2"/>
  <c r="C25" i="2" s="1"/>
  <c r="S10" i="2"/>
  <c r="S25" i="2" s="1"/>
  <c r="S20" i="2"/>
  <c r="AI10" i="2"/>
  <c r="AI30" i="2" s="1"/>
  <c r="J10" i="2"/>
  <c r="J15" i="2" s="1"/>
  <c r="Z10" i="2"/>
  <c r="Z30" i="2" s="1"/>
  <c r="AA10" i="2"/>
  <c r="AA15" i="2" s="1"/>
  <c r="O10" i="2"/>
  <c r="O20" i="2" s="1"/>
  <c r="AE10" i="2"/>
  <c r="AE20" i="2" s="1"/>
  <c r="L10" i="2"/>
  <c r="L20" i="2" s="1"/>
  <c r="AB10" i="2"/>
  <c r="AB25" i="2" s="1"/>
  <c r="G20" i="2"/>
  <c r="M10" i="2"/>
  <c r="M20" i="2" s="1"/>
  <c r="AC10" i="2"/>
  <c r="AC30" i="2" s="1"/>
  <c r="N10" i="2"/>
  <c r="N30" i="2" s="1"/>
  <c r="N15" i="2"/>
  <c r="AD10" i="2"/>
  <c r="AD25" i="2" s="1"/>
  <c r="AD15" i="2"/>
  <c r="S15" i="2"/>
  <c r="D10" i="2"/>
  <c r="D25" i="2" s="1"/>
  <c r="T10" i="2"/>
  <c r="T20" i="2" s="1"/>
  <c r="AJ10" i="2"/>
  <c r="AJ15" i="2" s="1"/>
  <c r="G25" i="2"/>
  <c r="R10" i="2"/>
  <c r="R20" i="2" s="1"/>
  <c r="AH10" i="2"/>
  <c r="AH30" i="2" s="1"/>
  <c r="P10" i="2"/>
  <c r="P30" i="2" s="1"/>
  <c r="G30" i="2"/>
  <c r="K10" i="2"/>
  <c r="K20" i="2" s="1"/>
  <c r="K25" i="2"/>
  <c r="AF10" i="2"/>
  <c r="AF25" i="2" s="1"/>
  <c r="AF15" i="2"/>
  <c r="E10" i="2"/>
  <c r="E20" i="2" s="1"/>
  <c r="U10" i="2"/>
  <c r="U30" i="2" s="1"/>
  <c r="AK10" i="2"/>
  <c r="AK30" i="2" s="1"/>
  <c r="Q10" i="2"/>
  <c r="Q25" i="2" s="1"/>
  <c r="AG10" i="2"/>
  <c r="AG20" i="2" s="1"/>
  <c r="V10" i="2"/>
  <c r="V20" i="2" s="1"/>
  <c r="AL10" i="2"/>
  <c r="AL25" i="2" s="1"/>
  <c r="F10" i="2"/>
  <c r="F25" i="2" s="1"/>
  <c r="H10" i="2"/>
  <c r="H25" i="2" s="1"/>
  <c r="X10" i="2"/>
  <c r="X15" i="2" s="1"/>
  <c r="AN10" i="2"/>
  <c r="AN30" i="2" s="1"/>
  <c r="R10" i="1"/>
  <c r="J10" i="1"/>
  <c r="AH10" i="1"/>
  <c r="AN10" i="1"/>
  <c r="H10" i="1"/>
  <c r="AM10" i="1"/>
  <c r="G10" i="1"/>
  <c r="C10" i="1"/>
  <c r="O10" i="1"/>
  <c r="O20" i="1" s="1"/>
  <c r="N10" i="1"/>
  <c r="E10" i="1"/>
  <c r="AF10" i="1"/>
  <c r="AE10" i="1"/>
  <c r="AE20" i="1" s="1"/>
  <c r="AD10" i="1"/>
  <c r="F10" i="1"/>
  <c r="M10" i="1"/>
  <c r="M20" i="1" s="1"/>
  <c r="AK10" i="1"/>
  <c r="AB10" i="1"/>
  <c r="L10" i="1"/>
  <c r="AJ10" i="1"/>
  <c r="D10" i="1"/>
  <c r="K10" i="1"/>
  <c r="K20" i="1" s="1"/>
  <c r="P10" i="1"/>
  <c r="AL10" i="1"/>
  <c r="AC10" i="1"/>
  <c r="AA10" i="1"/>
  <c r="AA20" i="1" s="1"/>
  <c r="P15" i="3" l="1"/>
  <c r="AA30" i="3"/>
  <c r="AN20" i="3"/>
  <c r="AN30" i="3"/>
  <c r="AA25" i="3"/>
  <c r="I20" i="3"/>
  <c r="AC25" i="3"/>
  <c r="S25" i="3"/>
  <c r="AI20" i="3"/>
  <c r="AF25" i="3"/>
  <c r="AH30" i="3"/>
  <c r="W15" i="3"/>
  <c r="AK25" i="3"/>
  <c r="Q30" i="3"/>
  <c r="AF30" i="3"/>
  <c r="AH20" i="3"/>
  <c r="Q15" i="3"/>
  <c r="AF15" i="3"/>
  <c r="W30" i="3"/>
  <c r="I15" i="3"/>
  <c r="AM20" i="3"/>
  <c r="AE15" i="3"/>
  <c r="N25" i="3"/>
  <c r="AD30" i="3"/>
  <c r="AM15" i="3"/>
  <c r="G15" i="3"/>
  <c r="T20" i="3"/>
  <c r="AC20" i="3"/>
  <c r="K25" i="3"/>
  <c r="X25" i="3"/>
  <c r="W20" i="3"/>
  <c r="I25" i="3"/>
  <c r="R25" i="3"/>
  <c r="M20" i="3"/>
  <c r="AJ30" i="3"/>
  <c r="AE20" i="3"/>
  <c r="AE30" i="3"/>
  <c r="AM25" i="3"/>
  <c r="P25" i="3"/>
  <c r="AK15" i="3"/>
  <c r="AG25" i="3"/>
  <c r="Q20" i="3"/>
  <c r="J15" i="1"/>
  <c r="J30" i="1"/>
  <c r="J25" i="1"/>
  <c r="X15" i="1"/>
  <c r="X30" i="1"/>
  <c r="X25" i="1"/>
  <c r="AK25" i="1"/>
  <c r="AK15" i="1"/>
  <c r="AK30" i="1"/>
  <c r="J20" i="1"/>
  <c r="F20" i="1"/>
  <c r="F15" i="1"/>
  <c r="F30" i="1"/>
  <c r="F25" i="1"/>
  <c r="AK20" i="1"/>
  <c r="N25" i="1"/>
  <c r="N15" i="1"/>
  <c r="N30" i="1"/>
  <c r="W30" i="1"/>
  <c r="W20" i="1"/>
  <c r="W15" i="1"/>
  <c r="W25" i="1"/>
  <c r="AB25" i="1"/>
  <c r="AB15" i="1"/>
  <c r="AB30" i="1"/>
  <c r="AJ15" i="1"/>
  <c r="AJ30" i="1"/>
  <c r="AJ25" i="1"/>
  <c r="AJ20" i="1"/>
  <c r="AN15" i="1"/>
  <c r="AN30" i="1"/>
  <c r="AN25" i="1"/>
  <c r="AH30" i="1"/>
  <c r="AH25" i="1"/>
  <c r="AH15" i="1"/>
  <c r="S15" i="1"/>
  <c r="S30" i="1"/>
  <c r="S25" i="1"/>
  <c r="AD25" i="1"/>
  <c r="AD15" i="1"/>
  <c r="AD30" i="1"/>
  <c r="AF30" i="1"/>
  <c r="AF25" i="1"/>
  <c r="AF15" i="1"/>
  <c r="Q15" i="1"/>
  <c r="Q25" i="1"/>
  <c r="Q30" i="1"/>
  <c r="AC25" i="1"/>
  <c r="AC15" i="1"/>
  <c r="AC30" i="1"/>
  <c r="AG30" i="1"/>
  <c r="AG25" i="1"/>
  <c r="AG15" i="1"/>
  <c r="AL15" i="1"/>
  <c r="AL30" i="1"/>
  <c r="AL20" i="1"/>
  <c r="AL25" i="1"/>
  <c r="Y15" i="1"/>
  <c r="Y30" i="1"/>
  <c r="Y25" i="1"/>
  <c r="V20" i="1"/>
  <c r="V15" i="1"/>
  <c r="V30" i="1"/>
  <c r="V25" i="1"/>
  <c r="N20" i="1"/>
  <c r="L25" i="1"/>
  <c r="L15" i="1"/>
  <c r="L30" i="1"/>
  <c r="AI15" i="1"/>
  <c r="AI30" i="1"/>
  <c r="AI25" i="1"/>
  <c r="L20" i="1"/>
  <c r="AE25" i="1"/>
  <c r="AE15" i="1"/>
  <c r="AE30" i="1"/>
  <c r="U15" i="1"/>
  <c r="U30" i="1"/>
  <c r="U25" i="1"/>
  <c r="U20" i="1"/>
  <c r="G15" i="1"/>
  <c r="G30" i="1"/>
  <c r="G25" i="1"/>
  <c r="G20" i="1"/>
  <c r="I15" i="1"/>
  <c r="I30" i="1"/>
  <c r="I25" i="1"/>
  <c r="S20" i="1"/>
  <c r="AN20" i="1"/>
  <c r="R30" i="1"/>
  <c r="R25" i="1"/>
  <c r="R15" i="1"/>
  <c r="M25" i="1"/>
  <c r="M15" i="1"/>
  <c r="M30" i="1"/>
  <c r="E15" i="1"/>
  <c r="E30" i="1"/>
  <c r="E25" i="1"/>
  <c r="AA15" i="1"/>
  <c r="AA30" i="1"/>
  <c r="AA25" i="1"/>
  <c r="O25" i="1"/>
  <c r="O15" i="1"/>
  <c r="O30" i="1"/>
  <c r="R20" i="1"/>
  <c r="AD20" i="1"/>
  <c r="P25" i="1"/>
  <c r="P30" i="1"/>
  <c r="P15" i="1"/>
  <c r="K15" i="1"/>
  <c r="K25" i="1"/>
  <c r="K30" i="1"/>
  <c r="AM30" i="1"/>
  <c r="AM15" i="1"/>
  <c r="AM20" i="1"/>
  <c r="AM25" i="1"/>
  <c r="D15" i="1"/>
  <c r="D30" i="1"/>
  <c r="D25" i="1"/>
  <c r="D20" i="1"/>
  <c r="H15" i="1"/>
  <c r="H30" i="1"/>
  <c r="H25" i="1"/>
  <c r="AB20" i="1"/>
  <c r="AF20" i="1"/>
  <c r="C15" i="1"/>
  <c r="C30" i="1"/>
  <c r="C25" i="1"/>
  <c r="C20" i="1"/>
  <c r="Y20" i="3"/>
  <c r="AG15" i="3"/>
  <c r="C25" i="3"/>
  <c r="AA15" i="3"/>
  <c r="N15" i="3"/>
  <c r="Y25" i="3"/>
  <c r="O20" i="3"/>
  <c r="AK20" i="3"/>
  <c r="AG20" i="3"/>
  <c r="V15" i="3"/>
  <c r="Y15" i="3"/>
  <c r="V30" i="3"/>
  <c r="F20" i="3"/>
  <c r="AC15" i="3"/>
  <c r="R15" i="3"/>
  <c r="N20" i="3"/>
  <c r="J30" i="3"/>
  <c r="S15" i="3"/>
  <c r="V20" i="3"/>
  <c r="AB20" i="3"/>
  <c r="R20" i="3"/>
  <c r="X30" i="3"/>
  <c r="K20" i="3"/>
  <c r="Z15" i="3"/>
  <c r="AD25" i="3"/>
  <c r="AI15" i="3"/>
  <c r="G25" i="3"/>
  <c r="P30" i="3"/>
  <c r="G30" i="3"/>
  <c r="O25" i="3"/>
  <c r="AN15" i="3"/>
  <c r="AB25" i="3"/>
  <c r="K15" i="3"/>
  <c r="AJ15" i="3"/>
  <c r="L30" i="3"/>
  <c r="L15" i="3"/>
  <c r="J25" i="3"/>
  <c r="AD20" i="3"/>
  <c r="F30" i="3"/>
  <c r="F25" i="3"/>
  <c r="X15" i="3"/>
  <c r="L25" i="3"/>
  <c r="AI30" i="3"/>
  <c r="D20" i="3"/>
  <c r="J15" i="3"/>
  <c r="O30" i="3"/>
  <c r="Z30" i="3"/>
  <c r="D30" i="3"/>
  <c r="Z20" i="3"/>
  <c r="C15" i="3"/>
  <c r="C30" i="3"/>
  <c r="Q15" i="2"/>
  <c r="K30" i="2"/>
  <c r="Y25" i="2"/>
  <c r="Q20" i="2"/>
  <c r="F15" i="2"/>
  <c r="M15" i="2"/>
  <c r="AE15" i="2"/>
  <c r="AL30" i="2"/>
  <c r="AG15" i="2"/>
  <c r="V15" i="2"/>
  <c r="V30" i="2"/>
  <c r="Q30" i="2"/>
  <c r="AL20" i="2"/>
  <c r="H30" i="2"/>
  <c r="S30" i="2"/>
  <c r="N25" i="2"/>
  <c r="H15" i="2"/>
  <c r="Y20" i="2"/>
  <c r="AE30" i="2"/>
  <c r="I25" i="2"/>
  <c r="C20" i="2"/>
  <c r="J20" i="2"/>
  <c r="AN15" i="2"/>
  <c r="L25" i="2"/>
  <c r="AA20" i="2"/>
  <c r="AA30" i="2"/>
  <c r="N20" i="2"/>
  <c r="AD30" i="2"/>
  <c r="AA25" i="2"/>
  <c r="Z25" i="2"/>
  <c r="J25" i="2"/>
  <c r="AD20" i="2"/>
  <c r="O15" i="2"/>
  <c r="J30" i="2"/>
  <c r="Z20" i="2"/>
  <c r="T15" i="2"/>
  <c r="C30" i="2"/>
  <c r="AG30" i="2"/>
  <c r="D15" i="2"/>
  <c r="AH15" i="2"/>
  <c r="AI15" i="2"/>
  <c r="AH25" i="2"/>
  <c r="AK25" i="2"/>
  <c r="AB15" i="2"/>
  <c r="R30" i="2"/>
  <c r="R25" i="2"/>
  <c r="U25" i="2"/>
  <c r="E15" i="2"/>
  <c r="AN20" i="2"/>
  <c r="D30" i="2"/>
  <c r="AL15" i="2"/>
  <c r="T30" i="2"/>
  <c r="Z15" i="2"/>
  <c r="AC15" i="2"/>
  <c r="R15" i="2"/>
  <c r="AI25" i="2"/>
  <c r="AN25" i="2"/>
  <c r="AM20" i="2"/>
  <c r="AM15" i="2"/>
  <c r="AI20" i="2"/>
  <c r="AK15" i="2"/>
  <c r="P15" i="2"/>
  <c r="P25" i="2"/>
  <c r="M25" i="2"/>
  <c r="E30" i="2"/>
  <c r="V25" i="2"/>
  <c r="I15" i="2"/>
  <c r="X25" i="2"/>
  <c r="P20" i="2"/>
  <c r="U15" i="2"/>
  <c r="U20" i="2"/>
  <c r="AC25" i="2"/>
  <c r="AJ25" i="2"/>
  <c r="AC20" i="2"/>
  <c r="E25" i="2"/>
  <c r="AM25" i="2"/>
  <c r="F20" i="2"/>
  <c r="AE25" i="2"/>
  <c r="AB30" i="2"/>
  <c r="W15" i="2"/>
  <c r="Y15" i="2"/>
  <c r="F30" i="2"/>
  <c r="H20" i="2"/>
  <c r="D20" i="2"/>
  <c r="AK20" i="2"/>
  <c r="AF20" i="2"/>
  <c r="AB20" i="2"/>
  <c r="I20" i="2"/>
  <c r="AF30" i="2"/>
  <c r="AG25" i="2"/>
  <c r="M30" i="2"/>
  <c r="L30" i="2"/>
  <c r="AJ30" i="2"/>
  <c r="AH20" i="2"/>
  <c r="L15" i="2"/>
  <c r="K15" i="2"/>
  <c r="O25" i="2"/>
  <c r="AJ20" i="2"/>
  <c r="T25" i="2"/>
  <c r="C15" i="2"/>
  <c r="X20" i="2"/>
  <c r="W25" i="2"/>
  <c r="O30" i="2"/>
  <c r="W30" i="2"/>
  <c r="X30" i="2"/>
</calcChain>
</file>

<file path=xl/sharedStrings.xml><?xml version="1.0" encoding="utf-8"?>
<sst xmlns="http://schemas.openxmlformats.org/spreadsheetml/2006/main" count="93" uniqueCount="17">
  <si>
    <t>Primary energy</t>
  </si>
  <si>
    <t>quad Btu</t>
  </si>
  <si>
    <t>United States</t>
  </si>
  <si>
    <t>Consumption</t>
  </si>
  <si>
    <t>kWh</t>
  </si>
  <si>
    <t>Emission CO2 (g)</t>
  </si>
  <si>
    <t>En prenant 870g/kWh</t>
  </si>
  <si>
    <t>En prenant 20g/kWh</t>
  </si>
  <si>
    <t>En prenant 390g/kWh</t>
  </si>
  <si>
    <t>En prenant 950g/kWh</t>
  </si>
  <si>
    <t>Emission CO2 (%)</t>
  </si>
  <si>
    <t>Charbon</t>
  </si>
  <si>
    <t>Gaz naturel</t>
  </si>
  <si>
    <t>Hydrocarbures</t>
  </si>
  <si>
    <t>Nucléaire et renouvelables</t>
  </si>
  <si>
    <t>Uganda</t>
  </si>
  <si>
    <t>Norvège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</si>
</sst>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Rejet</a:t>
            </a:r>
            <a:r>
              <a:rPr lang="en-US" baseline="0"/>
              <a:t> C02 en g par année aux USA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Rejet de CO2 global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USA!$C$10:$AN$10</c:f>
              <c:numCache>
                <c:formatCode>General</c:formatCode>
                <c:ptCount val="38"/>
                <c:pt idx="0">
                  <c:v>1.5364503707979732E+16</c:v>
                </c:pt>
                <c:pt idx="1">
                  <c:v>1.486711490403082E+16</c:v>
                </c:pt>
                <c:pt idx="2">
                  <c:v>1.4117348989469492E+16</c:v>
                </c:pt>
                <c:pt idx="3">
                  <c:v>1.4108231637927244E+16</c:v>
                </c:pt>
                <c:pt idx="4">
                  <c:v>1.4827321968995204E+16</c:v>
                </c:pt>
                <c:pt idx="5">
                  <c:v>1.4833182258013702E+16</c:v>
                </c:pt>
                <c:pt idx="6">
                  <c:v>1.4976496938156196E+16</c:v>
                </c:pt>
                <c:pt idx="7">
                  <c:v>1.5476690084623002E+16</c:v>
                </c:pt>
                <c:pt idx="8">
                  <c:v>1.615200810844025E+16</c:v>
                </c:pt>
                <c:pt idx="9">
                  <c:v>1.6348206387725414E+16</c:v>
                </c:pt>
                <c:pt idx="10">
                  <c:v>1.6207200090083104E+16</c:v>
                </c:pt>
                <c:pt idx="11">
                  <c:v>1.6029599750443664E+16</c:v>
                </c:pt>
                <c:pt idx="12">
                  <c:v>1.6318486446661304E+16</c:v>
                </c:pt>
                <c:pt idx="13">
                  <c:v>1.6611031093422466E+16</c:v>
                </c:pt>
                <c:pt idx="14">
                  <c:v>1.6914072804841262E+16</c:v>
                </c:pt>
                <c:pt idx="15">
                  <c:v>1.705061450018672E+16</c:v>
                </c:pt>
                <c:pt idx="16">
                  <c:v>1.7664534506115688E+16</c:v>
                </c:pt>
                <c:pt idx="17">
                  <c:v>1.7927944651893044E+16</c:v>
                </c:pt>
                <c:pt idx="18">
                  <c:v>1.8111008698708404E+16</c:v>
                </c:pt>
                <c:pt idx="19">
                  <c:v>1.8373396137174732E+16</c:v>
                </c:pt>
                <c:pt idx="20">
                  <c:v>1.8855007969814004E+16</c:v>
                </c:pt>
                <c:pt idx="21">
                  <c:v>1.8529466527515792E+16</c:v>
                </c:pt>
                <c:pt idx="22">
                  <c:v>1.8630893405575216E+16</c:v>
                </c:pt>
                <c:pt idx="23">
                  <c:v>1.8835306399867072E+16</c:v>
                </c:pt>
                <c:pt idx="24">
                  <c:v>1.9270189511774228E+16</c:v>
                </c:pt>
                <c:pt idx="25">
                  <c:v>1.9354021378172328E+16</c:v>
                </c:pt>
                <c:pt idx="26">
                  <c:v>1.9133611733284E+16</c:v>
                </c:pt>
                <c:pt idx="27">
                  <c:v>1.9321462200220656E+16</c:v>
                </c:pt>
                <c:pt idx="28">
                  <c:v>1.864008573685636E+16</c:v>
                </c:pt>
                <c:pt idx="29">
                  <c:v>1.7364104619622218E+16</c:v>
                </c:pt>
                <c:pt idx="30">
                  <c:v>1.799433911750858E+16</c:v>
                </c:pt>
                <c:pt idx="31">
                  <c:v>1.7557896828120482E+16</c:v>
                </c:pt>
                <c:pt idx="32">
                  <c:v>1.6848947460721472E+16</c:v>
                </c:pt>
                <c:pt idx="33">
                  <c:v>1.7285898443065792E+16</c:v>
                </c:pt>
                <c:pt idx="34">
                  <c:v>1.7413005223723314E+16</c:v>
                </c:pt>
                <c:pt idx="35">
                  <c:v>1.7018680527530898E+16</c:v>
                </c:pt>
                <c:pt idx="36">
                  <c:v>1.6791324059185906E+16</c:v>
                </c:pt>
                <c:pt idx="37">
                  <c:v>1.6735736450308918E+16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F1-7E43-BE86-7BD3C2B02095}"/>
            </c:ext>
          </c:extLst>
        </c:ser>
        <c:ser>
          <c:idx val="1"/>
          <c:order val="1"/>
          <c:tx>
            <c:v>Charbon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USA!$C$14:$AN$14</c:f>
              <c:numCache>
                <c:formatCode>General</c:formatCode>
                <c:ptCount val="38"/>
                <c:pt idx="0">
                  <c:v>4293979291155269.5</c:v>
                </c:pt>
                <c:pt idx="1">
                  <c:v>4428932942777699.5</c:v>
                </c:pt>
                <c:pt idx="2">
                  <c:v>4265795594956849.5</c:v>
                </c:pt>
                <c:pt idx="3">
                  <c:v>4425289955964662</c:v>
                </c:pt>
                <c:pt idx="4">
                  <c:v>4752759042977638</c:v>
                </c:pt>
                <c:pt idx="5">
                  <c:v>4866299255765657</c:v>
                </c:pt>
                <c:pt idx="6">
                  <c:v>4805597955811861</c:v>
                </c:pt>
                <c:pt idx="7">
                  <c:v>5013866927356229</c:v>
                </c:pt>
                <c:pt idx="8">
                  <c:v>5247142250891243</c:v>
                </c:pt>
                <c:pt idx="9">
                  <c:v>5309354643179363</c:v>
                </c:pt>
                <c:pt idx="10">
                  <c:v>5337996132003042</c:v>
                </c:pt>
                <c:pt idx="11">
                  <c:v>5287612366330011</c:v>
                </c:pt>
                <c:pt idx="12">
                  <c:v>5324029692589506</c:v>
                </c:pt>
                <c:pt idx="13">
                  <c:v>5522451270013858</c:v>
                </c:pt>
                <c:pt idx="14">
                  <c:v>5543141814087554</c:v>
                </c:pt>
                <c:pt idx="15">
                  <c:v>5593052101096193</c:v>
                </c:pt>
                <c:pt idx="16">
                  <c:v>5847299477423851</c:v>
                </c:pt>
                <c:pt idx="17">
                  <c:v>5970776643986698</c:v>
                </c:pt>
                <c:pt idx="18">
                  <c:v>6029336994491055</c:v>
                </c:pt>
                <c:pt idx="19">
                  <c:v>6020093482530156</c:v>
                </c:pt>
                <c:pt idx="20">
                  <c:v>6286534623554978</c:v>
                </c:pt>
                <c:pt idx="21">
                  <c:v>6101314696196078</c:v>
                </c:pt>
                <c:pt idx="22">
                  <c:v>6098452846846954</c:v>
                </c:pt>
                <c:pt idx="23">
                  <c:v>6214535845648990</c:v>
                </c:pt>
                <c:pt idx="24">
                  <c:v>6254980601991159</c:v>
                </c:pt>
                <c:pt idx="25">
                  <c:v>6346955288185367</c:v>
                </c:pt>
                <c:pt idx="26">
                  <c:v>6249681060584456</c:v>
                </c:pt>
                <c:pt idx="27">
                  <c:v>6333848391930673</c:v>
                </c:pt>
                <c:pt idx="28">
                  <c:v>6233053222362767</c:v>
                </c:pt>
                <c:pt idx="29">
                  <c:v>5482375205752510</c:v>
                </c:pt>
                <c:pt idx="30">
                  <c:v>5800540120324253</c:v>
                </c:pt>
                <c:pt idx="31">
                  <c:v>5473070114255273</c:v>
                </c:pt>
                <c:pt idx="32">
                  <c:v>4838403596896970</c:v>
                </c:pt>
                <c:pt idx="33">
                  <c:v>5022270241159545</c:v>
                </c:pt>
                <c:pt idx="34">
                  <c:v>5010854814160420</c:v>
                </c:pt>
                <c:pt idx="35">
                  <c:v>4329076788402398</c:v>
                </c:pt>
                <c:pt idx="36">
                  <c:v>3960740072373824</c:v>
                </c:pt>
                <c:pt idx="37">
                  <c:v>3852591793266457.5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F1-7E43-BE86-7BD3C2B02095}"/>
            </c:ext>
          </c:extLst>
        </c:ser>
        <c:ser>
          <c:idx val="2"/>
          <c:order val="2"/>
          <c:tx>
            <c:v>Gaz naturel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USA!$C$19:$AN$19</c:f>
              <c:numCache>
                <c:formatCode>General</c:formatCode>
                <c:ptCount val="38"/>
                <c:pt idx="0">
                  <c:v>2312866231562372</c:v>
                </c:pt>
                <c:pt idx="1">
                  <c:v>2257071879109960</c:v>
                </c:pt>
                <c:pt idx="2">
                  <c:v>2098073788643238.5</c:v>
                </c:pt>
                <c:pt idx="3">
                  <c:v>1968301782212487.8</c:v>
                </c:pt>
                <c:pt idx="4">
                  <c:v>2102347421219590.5</c:v>
                </c:pt>
                <c:pt idx="5">
                  <c:v>2023467118701652.5</c:v>
                </c:pt>
                <c:pt idx="6">
                  <c:v>1896354595493729.8</c:v>
                </c:pt>
                <c:pt idx="7">
                  <c:v>2016188492529669.2</c:v>
                </c:pt>
                <c:pt idx="8">
                  <c:v>2108608664336574</c:v>
                </c:pt>
                <c:pt idx="9">
                  <c:v>2240418247914711.5</c:v>
                </c:pt>
                <c:pt idx="10">
                  <c:v>2240608117751469.8</c:v>
                </c:pt>
                <c:pt idx="11">
                  <c:v>2289720766232472.5</c:v>
                </c:pt>
                <c:pt idx="12">
                  <c:v>2367520290824545.5</c:v>
                </c:pt>
                <c:pt idx="13">
                  <c:v>2426425627063586</c:v>
                </c:pt>
                <c:pt idx="14">
                  <c:v>2483467846606027.5</c:v>
                </c:pt>
                <c:pt idx="15">
                  <c:v>2591258787880106</c:v>
                </c:pt>
                <c:pt idx="16">
                  <c:v>2638521830908742.5</c:v>
                </c:pt>
                <c:pt idx="17">
                  <c:v>2654302831587086.5</c:v>
                </c:pt>
                <c:pt idx="18">
                  <c:v>2609442115808799</c:v>
                </c:pt>
                <c:pt idx="19">
                  <c:v>2618471775848018</c:v>
                </c:pt>
                <c:pt idx="20">
                  <c:v>2723025512110447</c:v>
                </c:pt>
                <c:pt idx="21">
                  <c:v>2602850748845444.5</c:v>
                </c:pt>
                <c:pt idx="22">
                  <c:v>2687147941097670</c:v>
                </c:pt>
                <c:pt idx="23">
                  <c:v>2609489665362304</c:v>
                </c:pt>
                <c:pt idx="24">
                  <c:v>2620052962433533</c:v>
                </c:pt>
                <c:pt idx="25">
                  <c:v>2579168979209160</c:v>
                </c:pt>
                <c:pt idx="26">
                  <c:v>2541836350254760</c:v>
                </c:pt>
                <c:pt idx="27">
                  <c:v>2704598693755389</c:v>
                </c:pt>
                <c:pt idx="28">
                  <c:v>2725194488511105.5</c:v>
                </c:pt>
                <c:pt idx="29">
                  <c:v>2676387849578432.5</c:v>
                </c:pt>
                <c:pt idx="30">
                  <c:v>2808837613489581</c:v>
                </c:pt>
                <c:pt idx="31">
                  <c:v>2852246109566484.5</c:v>
                </c:pt>
                <c:pt idx="32">
                  <c:v>2981864613056587.5</c:v>
                </c:pt>
                <c:pt idx="33">
                  <c:v>3063764944916978</c:v>
                </c:pt>
                <c:pt idx="34">
                  <c:v>3129794505550321</c:v>
                </c:pt>
                <c:pt idx="35">
                  <c:v>3222177017525645</c:v>
                </c:pt>
                <c:pt idx="36">
                  <c:v>3246094611870821.5</c:v>
                </c:pt>
                <c:pt idx="37">
                  <c:v>3206631051187666.5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F1-7E43-BE86-7BD3C2B02095}"/>
            </c:ext>
          </c:extLst>
        </c:ser>
        <c:ser>
          <c:idx val="3"/>
          <c:order val="3"/>
          <c:tx>
            <c:v>Nucléaire et renouvelables 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USA!$C$29:$AN$29</c:f>
              <c:numCache>
                <c:formatCode>General</c:formatCode>
                <c:ptCount val="38"/>
                <c:pt idx="0">
                  <c:v>48086382657935.328</c:v>
                </c:pt>
                <c:pt idx="1">
                  <c:v>49890560575471.602</c:v>
                </c:pt>
                <c:pt idx="2">
                  <c:v>53749347133320.422</c:v>
                </c:pt>
                <c:pt idx="3">
                  <c:v>57253323000321.219</c:v>
                </c:pt>
                <c:pt idx="4">
                  <c:v>59029928147559.859</c:v>
                </c:pt>
                <c:pt idx="5">
                  <c:v>59982110111675.359</c:v>
                </c:pt>
                <c:pt idx="6">
                  <c:v>61759157151367.805</c:v>
                </c:pt>
                <c:pt idx="7">
                  <c:v>61386560151510.969</c:v>
                </c:pt>
                <c:pt idx="8">
                  <c:v>65185893552592.336</c:v>
                </c:pt>
                <c:pt idx="9">
                  <c:v>69359183808831.984</c:v>
                </c:pt>
                <c:pt idx="10">
                  <c:v>70885639540424.375</c:v>
                </c:pt>
                <c:pt idx="11">
                  <c:v>73227046318360.031</c:v>
                </c:pt>
                <c:pt idx="12">
                  <c:v>72315469317848.875</c:v>
                </c:pt>
                <c:pt idx="13">
                  <c:v>73364359026386.969</c:v>
                </c:pt>
                <c:pt idx="14">
                  <c:v>74925999109674.781</c:v>
                </c:pt>
                <c:pt idx="15">
                  <c:v>80374125291900.797</c:v>
                </c:pt>
                <c:pt idx="16">
                  <c:v>83084863109914.984</c:v>
                </c:pt>
                <c:pt idx="17">
                  <c:v>80109182039028.297</c:v>
                </c:pt>
                <c:pt idx="18">
                  <c:v>79695827971718.125</c:v>
                </c:pt>
                <c:pt idx="19">
                  <c:v>82987126844540.719</c:v>
                </c:pt>
                <c:pt idx="20">
                  <c:v>82099981233169.516</c:v>
                </c:pt>
                <c:pt idx="21">
                  <c:v>77043764872865.438</c:v>
                </c:pt>
                <c:pt idx="22">
                  <c:v>81039359194992.438</c:v>
                </c:pt>
                <c:pt idx="23">
                  <c:v>80504673757127.953</c:v>
                </c:pt>
                <c:pt idx="24">
                  <c:v>83050492299869.875</c:v>
                </c:pt>
                <c:pt idx="25">
                  <c:v>83039371750081.984</c:v>
                </c:pt>
                <c:pt idx="26">
                  <c:v>84854123511039.891</c:v>
                </c:pt>
                <c:pt idx="27">
                  <c:v>84897342040792.281</c:v>
                </c:pt>
                <c:pt idx="28">
                  <c:v>87297081430249.719</c:v>
                </c:pt>
                <c:pt idx="29">
                  <c:v>88380382621226.312</c:v>
                </c:pt>
                <c:pt idx="30">
                  <c:v>91791591429223.281</c:v>
                </c:pt>
                <c:pt idx="31">
                  <c:v>96155557716581.312</c:v>
                </c:pt>
                <c:pt idx="32">
                  <c:v>93006515413375.969</c:v>
                </c:pt>
                <c:pt idx="33">
                  <c:v>97139053367496.781</c:v>
                </c:pt>
                <c:pt idx="34">
                  <c:v>99162252012017.328</c:v>
                </c:pt>
                <c:pt idx="35">
                  <c:v>99027237308869.969</c:v>
                </c:pt>
                <c:pt idx="36">
                  <c:v>102692393797148.78</c:v>
                </c:pt>
                <c:pt idx="37">
                  <c:v>107170846676350.56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BF1-7E43-BE86-7BD3C2B02095}"/>
            </c:ext>
          </c:extLst>
        </c:ser>
        <c:ser>
          <c:idx val="4"/>
          <c:order val="4"/>
          <c:tx>
            <c:v>Hydrocarbures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USA!$C$24:$AN$24</c:f>
              <c:numCache>
                <c:formatCode>General</c:formatCode>
                <c:ptCount val="38"/>
                <c:pt idx="0">
                  <c:v>8709571802604155</c:v>
                </c:pt>
                <c:pt idx="1">
                  <c:v>8131219521567688</c:v>
                </c:pt>
                <c:pt idx="2">
                  <c:v>7699730258736083</c:v>
                </c:pt>
                <c:pt idx="3">
                  <c:v>7657386576749772</c:v>
                </c:pt>
                <c:pt idx="4">
                  <c:v>7913185576650417</c:v>
                </c:pt>
                <c:pt idx="5">
                  <c:v>7883433773434716</c:v>
                </c:pt>
                <c:pt idx="6">
                  <c:v>8212785229699237</c:v>
                </c:pt>
                <c:pt idx="7">
                  <c:v>8385248104585594</c:v>
                </c:pt>
                <c:pt idx="8">
                  <c:v>8731071299659841</c:v>
                </c:pt>
                <c:pt idx="9">
                  <c:v>8729074312822508</c:v>
                </c:pt>
                <c:pt idx="10">
                  <c:v>8557710200788169</c:v>
                </c:pt>
                <c:pt idx="11">
                  <c:v>8379039571562821</c:v>
                </c:pt>
                <c:pt idx="12">
                  <c:v>8554620993929404</c:v>
                </c:pt>
                <c:pt idx="13">
                  <c:v>8588789837318635</c:v>
                </c:pt>
                <c:pt idx="14">
                  <c:v>8812537145038006</c:v>
                </c:pt>
                <c:pt idx="15">
                  <c:v>8785929485918521</c:v>
                </c:pt>
                <c:pt idx="16">
                  <c:v>9095628334673180</c:v>
                </c:pt>
                <c:pt idx="17">
                  <c:v>9222755994280232</c:v>
                </c:pt>
                <c:pt idx="18">
                  <c:v>9392533760436830</c:v>
                </c:pt>
                <c:pt idx="19">
                  <c:v>9651843751952016</c:v>
                </c:pt>
                <c:pt idx="20">
                  <c:v>9763347852915412</c:v>
                </c:pt>
                <c:pt idx="21">
                  <c:v>9748257317601406</c:v>
                </c:pt>
                <c:pt idx="22">
                  <c:v>9764253258435598</c:v>
                </c:pt>
                <c:pt idx="23">
                  <c:v>9930776215098650</c:v>
                </c:pt>
                <c:pt idx="24">
                  <c:v>1.0312105455049666E+16</c:v>
                </c:pt>
                <c:pt idx="25">
                  <c:v>1.034485773902772E+16</c:v>
                </c:pt>
                <c:pt idx="26">
                  <c:v>1.0257240198933746E+16</c:v>
                </c:pt>
                <c:pt idx="27">
                  <c:v>1.0198117772493804E+16</c:v>
                </c:pt>
                <c:pt idx="28">
                  <c:v>9594540944552242</c:v>
                </c:pt>
                <c:pt idx="29">
                  <c:v>9116961181670050</c:v>
                </c:pt>
                <c:pt idx="30">
                  <c:v>9293169792265522</c:v>
                </c:pt>
                <c:pt idx="31">
                  <c:v>9136425046582142</c:v>
                </c:pt>
                <c:pt idx="32">
                  <c:v>8935672735354539</c:v>
                </c:pt>
                <c:pt idx="33">
                  <c:v>9102724203621774</c:v>
                </c:pt>
                <c:pt idx="34">
                  <c:v>9173193652000556</c:v>
                </c:pt>
                <c:pt idx="35">
                  <c:v>9368399484293986</c:v>
                </c:pt>
                <c:pt idx="36">
                  <c:v>9481796981144112</c:v>
                </c:pt>
                <c:pt idx="37">
                  <c:v>9569342759178444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BF1-7E43-BE86-7BD3C2B02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9085775"/>
        <c:axId val="1278772479"/>
      </c:scatterChart>
      <c:valAx>
        <c:axId val="12790857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Années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78772479"/>
        <c:crosses val="autoZero"/>
        <c:crossBetween val="midCat"/>
      </c:valAx>
      <c:valAx>
        <c:axId val="1278772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Rejet de CO2 en 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790857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Part du rejet de CO2 aux USA en 2017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(USA!$AN$15,USA!$AN$20,USA!$AN$25,USA!$AN$30)</c:f>
              <c:numCache>
                <c:formatCode>General</c:formatCode>
                <c:ptCount val="4"/>
                <c:pt idx="0">
                  <c:v>23.020150948871713</c:v>
                </c:pt>
                <c:pt idx="1">
                  <c:v>19.160382100355534</c:v>
                </c:pt>
                <c:pt idx="2">
                  <c:v>57.179095688984795</c:v>
                </c:pt>
                <c:pt idx="3">
                  <c:v>0.64037126178795878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E3-B941-86F6-16300DC8320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983568628941328"/>
          <c:y val="0.45631572393634723"/>
          <c:w val="6.824831515655061E-2"/>
          <c:h val="0.149950882574368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Consommation énergétique par année aux USA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Consommation énergétique global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USA!$C$9:$AN$9</c:f>
              <c:numCache>
                <c:formatCode>General</c:formatCode>
                <c:ptCount val="38"/>
                <c:pt idx="0">
                  <c:v>22865725640846.953</c:v>
                </c:pt>
                <c:pt idx="1">
                  <c:v>22290155833106.598</c:v>
                </c:pt>
                <c:pt idx="2">
                  <c:v>21407719555602.578</c:v>
                </c:pt>
                <c:pt idx="3">
                  <c:v>21369387516740.805</c:v>
                </c:pt>
                <c:pt idx="4">
                  <c:v>22440650681872.797</c:v>
                </c:pt>
                <c:pt idx="5">
                  <c:v>22371321132635.641</c:v>
                </c:pt>
                <c:pt idx="6">
                  <c:v>22448912724976.828</c:v>
                </c:pt>
                <c:pt idx="7">
                  <c:v>23155012963527.289</c:v>
                </c:pt>
                <c:pt idx="8">
                  <c:v>24225005330601.055</c:v>
                </c:pt>
                <c:pt idx="9">
                  <c:v>24834834476194.02</c:v>
                </c:pt>
                <c:pt idx="10">
                  <c:v>24744822800395.156</c:v>
                </c:pt>
                <c:pt idx="11">
                  <c:v>24729418925038.75</c:v>
                </c:pt>
                <c:pt idx="12">
                  <c:v>25123477790005.402</c:v>
                </c:pt>
                <c:pt idx="13">
                  <c:v>25575100950094.879</c:v>
                </c:pt>
                <c:pt idx="14">
                  <c:v>26078405389198.258</c:v>
                </c:pt>
                <c:pt idx="15">
                  <c:v>26649152355207.781</c:v>
                </c:pt>
                <c:pt idx="16">
                  <c:v>27529481041336.262</c:v>
                </c:pt>
                <c:pt idx="17">
                  <c:v>27697260803573.137</c:v>
                </c:pt>
                <c:pt idx="18">
                  <c:v>27818354955719.426</c:v>
                </c:pt>
                <c:pt idx="19">
                  <c:v>28294400322741.379</c:v>
                </c:pt>
                <c:pt idx="20">
                  <c:v>28926759537674.57</c:v>
                </c:pt>
                <c:pt idx="21">
                  <c:v>28153494513553.176</c:v>
                </c:pt>
                <c:pt idx="22">
                  <c:v>28584794542350.906</c:v>
                </c:pt>
                <c:pt idx="23">
                  <c:v>28672534814152.633</c:v>
                </c:pt>
                <c:pt idx="24">
                  <c:v>29307794017332.105</c:v>
                </c:pt>
                <c:pt idx="25">
                  <c:v>29336869026201.219</c:v>
                </c:pt>
                <c:pt idx="26">
                  <c:v>29128778184632.043</c:v>
                </c:pt>
                <c:pt idx="27">
                  <c:v>29568918832319.793</c:v>
                </c:pt>
                <c:pt idx="28">
                  <c:v>28941848884544.641</c:v>
                </c:pt>
                <c:pt idx="29">
                  <c:v>27531739073969.02</c:v>
                </c:pt>
                <c:pt idx="30">
                  <c:v>28579363362887.891</c:v>
                </c:pt>
                <c:pt idx="31">
                  <c:v>28383993869455.406</c:v>
                </c:pt>
                <c:pt idx="32">
                  <c:v>27660077090157.121</c:v>
                </c:pt>
                <c:pt idx="33">
                  <c:v>28462261856769.469</c:v>
                </c:pt>
                <c:pt idx="34">
                  <c:v>28801711481728.191</c:v>
                </c:pt>
                <c:pt idx="35">
                  <c:v>28538552422537.203</c:v>
                </c:pt>
                <c:pt idx="36">
                  <c:v>28525756503363.777</c:v>
                </c:pt>
                <c:pt idx="37">
                  <c:v>28635277567464.293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36-B246-A009-64755964FF5E}"/>
            </c:ext>
          </c:extLst>
        </c:ser>
        <c:ser>
          <c:idx val="1"/>
          <c:order val="1"/>
          <c:tx>
            <c:v>Charbon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USA!$C$13:$AN$13</c:f>
              <c:numCache>
                <c:formatCode>General</c:formatCode>
                <c:ptCount val="38"/>
                <c:pt idx="0">
                  <c:v>4519978201216.0732</c:v>
                </c:pt>
                <c:pt idx="1">
                  <c:v>4662034676608.1045</c:v>
                </c:pt>
                <c:pt idx="2">
                  <c:v>4490311152586.1572</c:v>
                </c:pt>
                <c:pt idx="3">
                  <c:v>4658199953647.0127</c:v>
                </c:pt>
                <c:pt idx="4">
                  <c:v>5002904255765.9346</c:v>
                </c:pt>
                <c:pt idx="5">
                  <c:v>5122420269227.0078</c:v>
                </c:pt>
                <c:pt idx="6">
                  <c:v>5058524164012.4854</c:v>
                </c:pt>
                <c:pt idx="7">
                  <c:v>5277754660374.9775</c:v>
                </c:pt>
                <c:pt idx="8">
                  <c:v>5523307632517.0977</c:v>
                </c:pt>
                <c:pt idx="9">
                  <c:v>5588794361241.4346</c:v>
                </c:pt>
                <c:pt idx="10">
                  <c:v>5618943296845.3076</c:v>
                </c:pt>
                <c:pt idx="11">
                  <c:v>5565907754031.5908</c:v>
                </c:pt>
                <c:pt idx="12">
                  <c:v>5604241781673.1641</c:v>
                </c:pt>
                <c:pt idx="13">
                  <c:v>5813106600014.5879</c:v>
                </c:pt>
                <c:pt idx="14">
                  <c:v>5834886120092.1621</c:v>
                </c:pt>
                <c:pt idx="15">
                  <c:v>5887423264311.7822</c:v>
                </c:pt>
                <c:pt idx="16">
                  <c:v>6155052081498.791</c:v>
                </c:pt>
                <c:pt idx="17">
                  <c:v>6285028046301.7871</c:v>
                </c:pt>
                <c:pt idx="18">
                  <c:v>6346670520516.9004</c:v>
                </c:pt>
                <c:pt idx="19">
                  <c:v>6336940507926.4805</c:v>
                </c:pt>
                <c:pt idx="20">
                  <c:v>6617404866899.9766</c:v>
                </c:pt>
                <c:pt idx="21">
                  <c:v>6422436522311.6611</c:v>
                </c:pt>
                <c:pt idx="22">
                  <c:v>6419424049312.583</c:v>
                </c:pt>
                <c:pt idx="23">
                  <c:v>6541616679630.5156</c:v>
                </c:pt>
                <c:pt idx="24">
                  <c:v>6584190107359.1152</c:v>
                </c:pt>
                <c:pt idx="25">
                  <c:v>6681005566510.9131</c:v>
                </c:pt>
                <c:pt idx="26">
                  <c:v>6578611642720.4795</c:v>
                </c:pt>
                <c:pt idx="27">
                  <c:v>6667208833611.2344</c:v>
                </c:pt>
                <c:pt idx="28">
                  <c:v>6561108655118.7021</c:v>
                </c:pt>
                <c:pt idx="29">
                  <c:v>5770921269213.1689</c:v>
                </c:pt>
                <c:pt idx="30">
                  <c:v>6105831705604.4766</c:v>
                </c:pt>
                <c:pt idx="31">
                  <c:v>5761126436058.1826</c:v>
                </c:pt>
                <c:pt idx="32">
                  <c:v>5093056417786.2842</c:v>
                </c:pt>
                <c:pt idx="33">
                  <c:v>5286600253852.1523</c:v>
                </c:pt>
                <c:pt idx="34">
                  <c:v>5274584014905.7051</c:v>
                </c:pt>
                <c:pt idx="35">
                  <c:v>4556922935160.4189</c:v>
                </c:pt>
                <c:pt idx="36">
                  <c:v>4169200076182.9727</c:v>
                </c:pt>
                <c:pt idx="37">
                  <c:v>4055359782385.7446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36-B246-A009-64755964FF5E}"/>
            </c:ext>
          </c:extLst>
        </c:ser>
        <c:ser>
          <c:idx val="2"/>
          <c:order val="2"/>
          <c:tx>
            <c:v>Gaz naturel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USA!$C$18:$AN$18</c:f>
              <c:numCache>
                <c:formatCode>General</c:formatCode>
                <c:ptCount val="38"/>
                <c:pt idx="0">
                  <c:v>5930426234775.3125</c:v>
                </c:pt>
                <c:pt idx="1">
                  <c:v>5787363792589.6406</c:v>
                </c:pt>
                <c:pt idx="2">
                  <c:v>5379676381136.5088</c:v>
                </c:pt>
                <c:pt idx="3">
                  <c:v>5046927646698.6865</c:v>
                </c:pt>
                <c:pt idx="4">
                  <c:v>5390634413383.5654</c:v>
                </c:pt>
                <c:pt idx="5">
                  <c:v>5188377227440.1348</c:v>
                </c:pt>
                <c:pt idx="6">
                  <c:v>4862447680753.1533</c:v>
                </c:pt>
                <c:pt idx="7">
                  <c:v>5169714083409.4082</c:v>
                </c:pt>
                <c:pt idx="8">
                  <c:v>5406688882914.292</c:v>
                </c:pt>
                <c:pt idx="9">
                  <c:v>5744662174140.2861</c:v>
                </c:pt>
                <c:pt idx="10">
                  <c:v>5745149019875.5635</c:v>
                </c:pt>
                <c:pt idx="11">
                  <c:v>5871078887775.5703</c:v>
                </c:pt>
                <c:pt idx="12">
                  <c:v>6070564848268.0654</c:v>
                </c:pt>
                <c:pt idx="13">
                  <c:v>6221604171957.9131</c:v>
                </c:pt>
                <c:pt idx="14">
                  <c:v>6367866273348.7881</c:v>
                </c:pt>
                <c:pt idx="15">
                  <c:v>6644253302256.6816</c:v>
                </c:pt>
                <c:pt idx="16">
                  <c:v>6765440592073.6982</c:v>
                </c:pt>
                <c:pt idx="17">
                  <c:v>6805904696377.1455</c:v>
                </c:pt>
                <c:pt idx="18">
                  <c:v>6690877220022.5615</c:v>
                </c:pt>
                <c:pt idx="19">
                  <c:v>6714030194482.0977</c:v>
                </c:pt>
                <c:pt idx="20">
                  <c:v>6982116697719.0947</c:v>
                </c:pt>
                <c:pt idx="21">
                  <c:v>6673976279090.8828</c:v>
                </c:pt>
                <c:pt idx="22">
                  <c:v>6890122925891.4619</c:v>
                </c:pt>
                <c:pt idx="23">
                  <c:v>6690999141954.626</c:v>
                </c:pt>
                <c:pt idx="24">
                  <c:v>6718084519060.3408</c:v>
                </c:pt>
                <c:pt idx="25">
                  <c:v>6613253792844</c:v>
                </c:pt>
                <c:pt idx="26">
                  <c:v>6517529103217.333</c:v>
                </c:pt>
                <c:pt idx="27">
                  <c:v>6934868445526.6387</c:v>
                </c:pt>
                <c:pt idx="28">
                  <c:v>6987678175669.501</c:v>
                </c:pt>
                <c:pt idx="29">
                  <c:v>6862532947637.0068</c:v>
                </c:pt>
                <c:pt idx="30">
                  <c:v>7202147726896.3613</c:v>
                </c:pt>
                <c:pt idx="31">
                  <c:v>7313451562990.9854</c:v>
                </c:pt>
                <c:pt idx="32">
                  <c:v>7645806700145.0967</c:v>
                </c:pt>
                <c:pt idx="33">
                  <c:v>7855807551069.1738</c:v>
                </c:pt>
                <c:pt idx="34">
                  <c:v>8025114116795.6943</c:v>
                </c:pt>
                <c:pt idx="35">
                  <c:v>8261992352629.8584</c:v>
                </c:pt>
                <c:pt idx="36">
                  <c:v>8323319517617.4912</c:v>
                </c:pt>
                <c:pt idx="37">
                  <c:v>8222130900481.1963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36-B246-A009-64755964FF5E}"/>
            </c:ext>
          </c:extLst>
        </c:ser>
        <c:ser>
          <c:idx val="3"/>
          <c:order val="3"/>
          <c:tx>
            <c:v>Nucléaire et renouvelables 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USA!$C$28:$AN$28</c:f>
              <c:numCache>
                <c:formatCode>General</c:formatCode>
                <c:ptCount val="38"/>
                <c:pt idx="0">
                  <c:v>2404319132896.7666</c:v>
                </c:pt>
                <c:pt idx="1">
                  <c:v>2494528028773.5801</c:v>
                </c:pt>
                <c:pt idx="2">
                  <c:v>2687467356666.021</c:v>
                </c:pt>
                <c:pt idx="3">
                  <c:v>2862666150016.061</c:v>
                </c:pt>
                <c:pt idx="4">
                  <c:v>2951496407377.9932</c:v>
                </c:pt>
                <c:pt idx="5">
                  <c:v>2999105505583.7681</c:v>
                </c:pt>
                <c:pt idx="6">
                  <c:v>3087957857568.3901</c:v>
                </c:pt>
                <c:pt idx="7">
                  <c:v>3069328007575.5483</c:v>
                </c:pt>
                <c:pt idx="8">
                  <c:v>3259294677629.6167</c:v>
                </c:pt>
                <c:pt idx="9">
                  <c:v>3467959190441.5991</c:v>
                </c:pt>
                <c:pt idx="10">
                  <c:v>3544281977021.2188</c:v>
                </c:pt>
                <c:pt idx="11">
                  <c:v>3661352315918.002</c:v>
                </c:pt>
                <c:pt idx="12">
                  <c:v>3615773465892.4434</c:v>
                </c:pt>
                <c:pt idx="13">
                  <c:v>3668217951319.3481</c:v>
                </c:pt>
                <c:pt idx="14">
                  <c:v>3746299955483.7393</c:v>
                </c:pt>
                <c:pt idx="15">
                  <c:v>4018706264595.04</c:v>
                </c:pt>
                <c:pt idx="16">
                  <c:v>4154243155495.749</c:v>
                </c:pt>
                <c:pt idx="17">
                  <c:v>4005459101951.4146</c:v>
                </c:pt>
                <c:pt idx="18">
                  <c:v>3984791398585.9062</c:v>
                </c:pt>
                <c:pt idx="19">
                  <c:v>4149356342227.0356</c:v>
                </c:pt>
                <c:pt idx="20">
                  <c:v>4104999061658.4761</c:v>
                </c:pt>
                <c:pt idx="21">
                  <c:v>3852188243643.272</c:v>
                </c:pt>
                <c:pt idx="22">
                  <c:v>4051967959749.6221</c:v>
                </c:pt>
                <c:pt idx="23">
                  <c:v>4025233687856.3979</c:v>
                </c:pt>
                <c:pt idx="24">
                  <c:v>4152524614993.4941</c:v>
                </c:pt>
                <c:pt idx="25">
                  <c:v>4151968587504.0991</c:v>
                </c:pt>
                <c:pt idx="26">
                  <c:v>4242706175551.9946</c:v>
                </c:pt>
                <c:pt idx="27">
                  <c:v>4244867102039.6138</c:v>
                </c:pt>
                <c:pt idx="28">
                  <c:v>4364854071512.4858</c:v>
                </c:pt>
                <c:pt idx="29">
                  <c:v>4419019131061.3154</c:v>
                </c:pt>
                <c:pt idx="30">
                  <c:v>4589579571461.1641</c:v>
                </c:pt>
                <c:pt idx="31">
                  <c:v>4807777885829.0654</c:v>
                </c:pt>
                <c:pt idx="32">
                  <c:v>4650325770668.7988</c:v>
                </c:pt>
                <c:pt idx="33">
                  <c:v>4856952668374.8389</c:v>
                </c:pt>
                <c:pt idx="34">
                  <c:v>4958112600600.8662</c:v>
                </c:pt>
                <c:pt idx="35">
                  <c:v>4951361865443.498</c:v>
                </c:pt>
                <c:pt idx="36">
                  <c:v>5134619689857.4395</c:v>
                </c:pt>
                <c:pt idx="37">
                  <c:v>5358542333817.5283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736-B246-A009-64755964FF5E}"/>
            </c:ext>
          </c:extLst>
        </c:ser>
        <c:ser>
          <c:idx val="4"/>
          <c:order val="4"/>
          <c:tx>
            <c:v>Hydrocarbures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USA!$C$23:$AN$23</c:f>
              <c:numCache>
                <c:formatCode>General</c:formatCode>
                <c:ptCount val="38"/>
                <c:pt idx="0">
                  <c:v>10011002071958.799</c:v>
                </c:pt>
                <c:pt idx="1">
                  <c:v>9346229335135.2734</c:v>
                </c:pt>
                <c:pt idx="2">
                  <c:v>8850264665213.8887</c:v>
                </c:pt>
                <c:pt idx="3">
                  <c:v>8801593766379.0488</c:v>
                </c:pt>
                <c:pt idx="4">
                  <c:v>9095615605345.3066</c:v>
                </c:pt>
                <c:pt idx="5">
                  <c:v>9061418130384.7305</c:v>
                </c:pt>
                <c:pt idx="6">
                  <c:v>9439983022642.8008</c:v>
                </c:pt>
                <c:pt idx="7">
                  <c:v>9638216212167.3496</c:v>
                </c:pt>
                <c:pt idx="8">
                  <c:v>10035714137540.047</c:v>
                </c:pt>
                <c:pt idx="9">
                  <c:v>10033418750370.699</c:v>
                </c:pt>
                <c:pt idx="10">
                  <c:v>9836448506653.0684</c:v>
                </c:pt>
                <c:pt idx="11">
                  <c:v>9631079967313.5879</c:v>
                </c:pt>
                <c:pt idx="12">
                  <c:v>9832897694171.7285</c:v>
                </c:pt>
                <c:pt idx="13">
                  <c:v>9872172226803.0293</c:v>
                </c:pt>
                <c:pt idx="14">
                  <c:v>10129353040273.57</c:v>
                </c:pt>
                <c:pt idx="15">
                  <c:v>10098769524044.277</c:v>
                </c:pt>
                <c:pt idx="16">
                  <c:v>10454745212268.023</c:v>
                </c:pt>
                <c:pt idx="17">
                  <c:v>10600868958942.795</c:v>
                </c:pt>
                <c:pt idx="18">
                  <c:v>10796015816594.059</c:v>
                </c:pt>
                <c:pt idx="19">
                  <c:v>11094073278105.766</c:v>
                </c:pt>
                <c:pt idx="20">
                  <c:v>11222238911397.025</c:v>
                </c:pt>
                <c:pt idx="21">
                  <c:v>11204893468507.363</c:v>
                </c:pt>
                <c:pt idx="22">
                  <c:v>11223279607397.238</c:v>
                </c:pt>
                <c:pt idx="23">
                  <c:v>11414685304711.092</c:v>
                </c:pt>
                <c:pt idx="24">
                  <c:v>11852994775919.156</c:v>
                </c:pt>
                <c:pt idx="25">
                  <c:v>11890641079342.207</c:v>
                </c:pt>
                <c:pt idx="26">
                  <c:v>11789931263142.236</c:v>
                </c:pt>
                <c:pt idx="27">
                  <c:v>11721974451142.303</c:v>
                </c:pt>
                <c:pt idx="28">
                  <c:v>11028207982243.957</c:v>
                </c:pt>
                <c:pt idx="29">
                  <c:v>10479265726057.529</c:v>
                </c:pt>
                <c:pt idx="30">
                  <c:v>10681804358925.887</c:v>
                </c:pt>
                <c:pt idx="31">
                  <c:v>10501637984577.174</c:v>
                </c:pt>
                <c:pt idx="32">
                  <c:v>10270888201556.941</c:v>
                </c:pt>
                <c:pt idx="33">
                  <c:v>10462901383473.303</c:v>
                </c:pt>
                <c:pt idx="34">
                  <c:v>10543900749425.926</c:v>
                </c:pt>
                <c:pt idx="35">
                  <c:v>10768275269303.432</c:v>
                </c:pt>
                <c:pt idx="36">
                  <c:v>10898617219705.875</c:v>
                </c:pt>
                <c:pt idx="37">
                  <c:v>10999244550779.82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736-B246-A009-64755964F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9085775"/>
        <c:axId val="1278772479"/>
      </c:scatterChart>
      <c:valAx>
        <c:axId val="12790857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Années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78772479"/>
        <c:crosses val="autoZero"/>
        <c:crossBetween val="midCat"/>
      </c:valAx>
      <c:valAx>
        <c:axId val="1278772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Rejet de CO2 en 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790857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Rejet</a:t>
            </a:r>
            <a:r>
              <a:rPr lang="en-US" baseline="0"/>
              <a:t> C02 en g par année au Ouganda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Rejet de CO2 global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Ouganda!$C$10:$AN$10</c:f>
              <c:numCache>
                <c:formatCode>General</c:formatCode>
                <c:ptCount val="38"/>
                <c:pt idx="0">
                  <c:v>2681025474454.2158</c:v>
                </c:pt>
                <c:pt idx="1">
                  <c:v>1714489401825.364</c:v>
                </c:pt>
                <c:pt idx="2">
                  <c:v>2034462325635.29</c:v>
                </c:pt>
                <c:pt idx="3">
                  <c:v>1977997599493.3132</c:v>
                </c:pt>
                <c:pt idx="4">
                  <c:v>2043465636322.5281</c:v>
                </c:pt>
                <c:pt idx="5">
                  <c:v>2200838529284.1841</c:v>
                </c:pt>
                <c:pt idx="6">
                  <c:v>2351958092989.5498</c:v>
                </c:pt>
                <c:pt idx="7">
                  <c:v>2067325934691.1797</c:v>
                </c:pt>
                <c:pt idx="8">
                  <c:v>3129394065483.7139</c:v>
                </c:pt>
                <c:pt idx="9">
                  <c:v>2861856323166.6865</c:v>
                </c:pt>
                <c:pt idx="10">
                  <c:v>3088926069575.4478</c:v>
                </c:pt>
                <c:pt idx="11">
                  <c:v>3354488764640.3428</c:v>
                </c:pt>
                <c:pt idx="12">
                  <c:v>3533737722187.8071</c:v>
                </c:pt>
                <c:pt idx="13">
                  <c:v>3632779879059.0181</c:v>
                </c:pt>
                <c:pt idx="14">
                  <c:v>3739168829786.123</c:v>
                </c:pt>
                <c:pt idx="15">
                  <c:v>3692649220092.1377</c:v>
                </c:pt>
                <c:pt idx="16">
                  <c:v>3762932218440.9766</c:v>
                </c:pt>
                <c:pt idx="17">
                  <c:v>3863352585650.3374</c:v>
                </c:pt>
                <c:pt idx="18">
                  <c:v>4369781930840.1035</c:v>
                </c:pt>
                <c:pt idx="19">
                  <c:v>4370179612361.2695</c:v>
                </c:pt>
                <c:pt idx="20">
                  <c:v>5126251800279.6963</c:v>
                </c:pt>
                <c:pt idx="21">
                  <c:v>5260121542586.3936</c:v>
                </c:pt>
                <c:pt idx="22">
                  <c:v>5316333527039.5986</c:v>
                </c:pt>
                <c:pt idx="23">
                  <c:v>5582018331561.125</c:v>
                </c:pt>
                <c:pt idx="24">
                  <c:v>5905167778827.4541</c:v>
                </c:pt>
                <c:pt idx="25">
                  <c:v>7344641931730.209</c:v>
                </c:pt>
                <c:pt idx="26">
                  <c:v>8650689447447.9326</c:v>
                </c:pt>
                <c:pt idx="27">
                  <c:v>10483496854239.689</c:v>
                </c:pt>
                <c:pt idx="28">
                  <c:v>10494590507020.143</c:v>
                </c:pt>
                <c:pt idx="29">
                  <c:v>11333626554364.781</c:v>
                </c:pt>
                <c:pt idx="30">
                  <c:v>13031891071812.76</c:v>
                </c:pt>
                <c:pt idx="31">
                  <c:v>13855719788737.902</c:v>
                </c:pt>
                <c:pt idx="32">
                  <c:v>13195160392704.119</c:v>
                </c:pt>
                <c:pt idx="33">
                  <c:v>13778999719842.109</c:v>
                </c:pt>
                <c:pt idx="34">
                  <c:v>16610305191207.475</c:v>
                </c:pt>
                <c:pt idx="35">
                  <c:v>16524422769451.902</c:v>
                </c:pt>
                <c:pt idx="36">
                  <c:v>17130204635475.535</c:v>
                </c:pt>
                <c:pt idx="37">
                  <c:v>16534601519337.543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8D6-3B45-85C9-CC4C7EAA0914}"/>
            </c:ext>
          </c:extLst>
        </c:ser>
        <c:ser>
          <c:idx val="1"/>
          <c:order val="1"/>
          <c:tx>
            <c:v>Charbon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Ouganda!$C$14:$AN$14</c:f>
              <c:numCache>
                <c:formatCode>General</c:formatCode>
                <c:ptCount val="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8D6-3B45-85C9-CC4C7EAA0914}"/>
            </c:ext>
          </c:extLst>
        </c:ser>
        <c:ser>
          <c:idx val="2"/>
          <c:order val="2"/>
          <c:tx>
            <c:v>Gaz naturel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Ouganda!$C$19:$AN$19</c:f>
              <c:numCache>
                <c:formatCode>General</c:formatCode>
                <c:ptCount val="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8D6-3B45-85C9-CC4C7EAA0914}"/>
            </c:ext>
          </c:extLst>
        </c:ser>
        <c:ser>
          <c:idx val="3"/>
          <c:order val="3"/>
          <c:tx>
            <c:v>Nucléaire et renouvelables 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Ouganda!$C$29:$AN$29</c:f>
              <c:numCache>
                <c:formatCode>General</c:formatCode>
                <c:ptCount val="38"/>
                <c:pt idx="0">
                  <c:v>34977115996.697479</c:v>
                </c:pt>
                <c:pt idx="1">
                  <c:v>25645423101.122116</c:v>
                </c:pt>
                <c:pt idx="2">
                  <c:v>28960100277.394833</c:v>
                </c:pt>
                <c:pt idx="3">
                  <c:v>25271748469.307713</c:v>
                </c:pt>
                <c:pt idx="4">
                  <c:v>32468884319.826706</c:v>
                </c:pt>
                <c:pt idx="5">
                  <c:v>37007180881.68325</c:v>
                </c:pt>
                <c:pt idx="6">
                  <c:v>35075258946.379997</c:v>
                </c:pt>
                <c:pt idx="7">
                  <c:v>33713422485</c:v>
                </c:pt>
                <c:pt idx="8">
                  <c:v>33784712591.891998</c:v>
                </c:pt>
                <c:pt idx="9">
                  <c:v>39620668162.645546</c:v>
                </c:pt>
                <c:pt idx="10">
                  <c:v>43863044233.280624</c:v>
                </c:pt>
                <c:pt idx="11">
                  <c:v>44628759627.110626</c:v>
                </c:pt>
                <c:pt idx="12">
                  <c:v>54661084679.297684</c:v>
                </c:pt>
                <c:pt idx="13">
                  <c:v>55777664034.26062</c:v>
                </c:pt>
                <c:pt idx="14">
                  <c:v>60512047265.95063</c:v>
                </c:pt>
                <c:pt idx="15">
                  <c:v>61669481358.380615</c:v>
                </c:pt>
                <c:pt idx="16">
                  <c:v>67680570427.437683</c:v>
                </c:pt>
                <c:pt idx="17">
                  <c:v>71184793357.980621</c:v>
                </c:pt>
                <c:pt idx="18">
                  <c:v>70617348344.09201</c:v>
                </c:pt>
                <c:pt idx="19">
                  <c:v>71010593356.459991</c:v>
                </c:pt>
                <c:pt idx="20">
                  <c:v>89803847744.420349</c:v>
                </c:pt>
                <c:pt idx="21">
                  <c:v>93829728840.411758</c:v>
                </c:pt>
                <c:pt idx="22">
                  <c:v>99074925363.574142</c:v>
                </c:pt>
                <c:pt idx="23">
                  <c:v>105006328214.82684</c:v>
                </c:pt>
                <c:pt idx="24">
                  <c:v>108191275376.02998</c:v>
                </c:pt>
                <c:pt idx="25">
                  <c:v>112115019795.84967</c:v>
                </c:pt>
                <c:pt idx="26">
                  <c:v>68692823350.288399</c:v>
                </c:pt>
                <c:pt idx="27">
                  <c:v>82966737841.34494</c:v>
                </c:pt>
                <c:pt idx="28">
                  <c:v>99704032158.562317</c:v>
                </c:pt>
                <c:pt idx="29">
                  <c:v>89376207183.426956</c:v>
                </c:pt>
                <c:pt idx="30">
                  <c:v>84200716971.169434</c:v>
                </c:pt>
                <c:pt idx="31">
                  <c:v>98290872659.120499</c:v>
                </c:pt>
                <c:pt idx="32">
                  <c:v>149919093288.89795</c:v>
                </c:pt>
                <c:pt idx="33">
                  <c:v>194839564131.69479</c:v>
                </c:pt>
                <c:pt idx="34">
                  <c:v>198129737226.02014</c:v>
                </c:pt>
                <c:pt idx="35">
                  <c:v>188755209639.47495</c:v>
                </c:pt>
                <c:pt idx="36">
                  <c:v>192940305870.36798</c:v>
                </c:pt>
                <c:pt idx="37">
                  <c:v>193970723577.53998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8D6-3B45-85C9-CC4C7EAA0914}"/>
            </c:ext>
          </c:extLst>
        </c:ser>
        <c:ser>
          <c:idx val="4"/>
          <c:order val="4"/>
          <c:tx>
            <c:v>Hydrocarbures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Ouganda!$C$24:$AN$24</c:f>
              <c:numCache>
                <c:formatCode>General</c:formatCode>
                <c:ptCount val="38"/>
                <c:pt idx="0">
                  <c:v>2646048358457.5186</c:v>
                </c:pt>
                <c:pt idx="1">
                  <c:v>1688843978724.2419</c:v>
                </c:pt>
                <c:pt idx="2">
                  <c:v>2005502225357.8953</c:v>
                </c:pt>
                <c:pt idx="3">
                  <c:v>1952725851024.0056</c:v>
                </c:pt>
                <c:pt idx="4">
                  <c:v>2010996752002.7014</c:v>
                </c:pt>
                <c:pt idx="5">
                  <c:v>2163831348402.501</c:v>
                </c:pt>
                <c:pt idx="6">
                  <c:v>2316882834043.1699</c:v>
                </c:pt>
                <c:pt idx="7">
                  <c:v>2033612512206.1797</c:v>
                </c:pt>
                <c:pt idx="8">
                  <c:v>3095609352891.8218</c:v>
                </c:pt>
                <c:pt idx="9">
                  <c:v>2822235655004.041</c:v>
                </c:pt>
                <c:pt idx="10">
                  <c:v>3045063025342.167</c:v>
                </c:pt>
                <c:pt idx="11">
                  <c:v>3309860005013.2319</c:v>
                </c:pt>
                <c:pt idx="12">
                  <c:v>3479076637508.5093</c:v>
                </c:pt>
                <c:pt idx="13">
                  <c:v>3577002215024.7573</c:v>
                </c:pt>
                <c:pt idx="14">
                  <c:v>3678656782520.1724</c:v>
                </c:pt>
                <c:pt idx="15">
                  <c:v>3630979738733.7568</c:v>
                </c:pt>
                <c:pt idx="16">
                  <c:v>3695251648013.5391</c:v>
                </c:pt>
                <c:pt idx="17">
                  <c:v>3792167792292.3569</c:v>
                </c:pt>
                <c:pt idx="18">
                  <c:v>4299164582496.0117</c:v>
                </c:pt>
                <c:pt idx="19">
                  <c:v>4299169019004.8096</c:v>
                </c:pt>
                <c:pt idx="20">
                  <c:v>5036447952535.2764</c:v>
                </c:pt>
                <c:pt idx="21">
                  <c:v>5166291813745.9814</c:v>
                </c:pt>
                <c:pt idx="22">
                  <c:v>5217258601676.0244</c:v>
                </c:pt>
                <c:pt idx="23">
                  <c:v>5477012003346.2979</c:v>
                </c:pt>
                <c:pt idx="24">
                  <c:v>5796976503451.4238</c:v>
                </c:pt>
                <c:pt idx="25">
                  <c:v>7232526911934.3594</c:v>
                </c:pt>
                <c:pt idx="26">
                  <c:v>8581996624097.6445</c:v>
                </c:pt>
                <c:pt idx="27">
                  <c:v>10400530116398.344</c:v>
                </c:pt>
                <c:pt idx="28">
                  <c:v>10394886474861.58</c:v>
                </c:pt>
                <c:pt idx="29">
                  <c:v>11244250347181.354</c:v>
                </c:pt>
                <c:pt idx="30">
                  <c:v>12947690354841.59</c:v>
                </c:pt>
                <c:pt idx="31">
                  <c:v>13757428916078.781</c:v>
                </c:pt>
                <c:pt idx="32">
                  <c:v>13045241299415.221</c:v>
                </c:pt>
                <c:pt idx="33">
                  <c:v>13584160155710.414</c:v>
                </c:pt>
                <c:pt idx="34">
                  <c:v>16412175453981.455</c:v>
                </c:pt>
                <c:pt idx="35">
                  <c:v>16335667559812.428</c:v>
                </c:pt>
                <c:pt idx="36">
                  <c:v>16937264329605.168</c:v>
                </c:pt>
                <c:pt idx="37">
                  <c:v>16340630795760.004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8D6-3B45-85C9-CC4C7EAA0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9085775"/>
        <c:axId val="1278772479"/>
      </c:scatterChart>
      <c:valAx>
        <c:axId val="12790857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Années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78772479"/>
        <c:crosses val="autoZero"/>
        <c:crossBetween val="midCat"/>
      </c:valAx>
      <c:valAx>
        <c:axId val="1278772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Rejet de CO2 en 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790857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Part du rejet de CO2 aux Ouganda en 2017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F4B-9B4F-99D0-47044FF7057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F4B-9B4F-99D0-47044FF7057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F4B-9B4F-99D0-47044FF7057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F4B-9B4F-99D0-47044FF7057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(Ouganda!$AN$15,Ouganda!$AN$20,Ouganda!$AN$25,Ouganda!$AN$30)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98.826879962297937</c:v>
                </c:pt>
                <c:pt idx="3">
                  <c:v>1.1731200377020721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4B-9B4F-99D0-47044FF7057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983568628941328"/>
          <c:y val="0.45631572393634723"/>
          <c:w val="6.824831515655061E-2"/>
          <c:h val="0.149950882574368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Consommation énergétique par année au Ouganda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Consommation énergétique global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Ouganda!$C$9:$AN$9</c:f>
              <c:numCache>
                <c:formatCode>General</c:formatCode>
                <c:ptCount val="38"/>
                <c:pt idx="0">
                  <c:v>4790290694.6138067</c:v>
                </c:pt>
                <c:pt idx="1">
                  <c:v>3223471130.6010942</c:v>
                </c:pt>
                <c:pt idx="2">
                  <c:v>3753179985.5455418</c:v>
                </c:pt>
                <c:pt idx="3">
                  <c:v>3508099895.9068885</c:v>
                </c:pt>
                <c:pt idx="4">
                  <c:v>3934934735.5345531</c:v>
                </c:pt>
                <c:pt idx="5">
                  <c:v>4337521513.5122662</c:v>
                </c:pt>
                <c:pt idx="6">
                  <c:v>4416846664.6099997</c:v>
                </c:pt>
                <c:pt idx="7">
                  <c:v>4023156770.4639997</c:v>
                </c:pt>
                <c:pt idx="8">
                  <c:v>5247407299.5852003</c:v>
                </c:pt>
                <c:pt idx="9">
                  <c:v>5224982436.8725538</c:v>
                </c:pt>
                <c:pt idx="10">
                  <c:v>5693224654.5860615</c:v>
                </c:pt>
                <c:pt idx="11">
                  <c:v>6035874768.7270622</c:v>
                </c:pt>
                <c:pt idx="12">
                  <c:v>6731992897.7677689</c:v>
                </c:pt>
                <c:pt idx="13">
                  <c:v>6900380000.592062</c:v>
                </c:pt>
                <c:pt idx="14">
                  <c:v>7253943492.6310625</c:v>
                </c:pt>
                <c:pt idx="15">
                  <c:v>7257013997.4980621</c:v>
                </c:pt>
                <c:pt idx="16">
                  <c:v>7631444208.7437687</c:v>
                </c:pt>
                <c:pt idx="17">
                  <c:v>7918053222.2580614</c:v>
                </c:pt>
                <c:pt idx="18">
                  <c:v>8472435902.8321991</c:v>
                </c:pt>
                <c:pt idx="19">
                  <c:v>8492103252.8860006</c:v>
                </c:pt>
                <c:pt idx="20">
                  <c:v>10279213022.319035</c:v>
                </c:pt>
                <c:pt idx="21">
                  <c:v>10629752894.601883</c:v>
                </c:pt>
                <c:pt idx="22">
                  <c:v>10950595235.622707</c:v>
                </c:pt>
                <c:pt idx="23">
                  <c:v>11545732506.541977</c:v>
                </c:pt>
                <c:pt idx="24">
                  <c:v>12072755152.078707</c:v>
                </c:pt>
                <c:pt idx="25">
                  <c:v>13919000313.854967</c:v>
                </c:pt>
                <c:pt idx="26">
                  <c:v>13299005103.258839</c:v>
                </c:pt>
                <c:pt idx="27">
                  <c:v>16102969209.766493</c:v>
                </c:pt>
                <c:pt idx="28">
                  <c:v>16933346981.33194</c:v>
                </c:pt>
                <c:pt idx="29">
                  <c:v>17393236045.586697</c:v>
                </c:pt>
                <c:pt idx="30">
                  <c:v>19092438555.272648</c:v>
                </c:pt>
                <c:pt idx="31">
                  <c:v>20727680318.10376</c:v>
                </c:pt>
                <c:pt idx="32">
                  <c:v>22490484893.657795</c:v>
                </c:pt>
                <c:pt idx="33">
                  <c:v>25355955397.056774</c:v>
                </c:pt>
                <c:pt idx="34">
                  <c:v>28771056348.636013</c:v>
                </c:pt>
                <c:pt idx="35">
                  <c:v>28214389861.068497</c:v>
                </c:pt>
                <c:pt idx="36">
                  <c:v>29115135212.604805</c:v>
                </c:pt>
                <c:pt idx="37">
                  <c:v>28480870426.876999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74-0841-A7B9-5181D0B9B8A0}"/>
            </c:ext>
          </c:extLst>
        </c:ser>
        <c:ser>
          <c:idx val="1"/>
          <c:order val="1"/>
          <c:tx>
            <c:v>Charbon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Ouganda!$C$13:$AN$13</c:f>
              <c:numCache>
                <c:formatCode>General</c:formatCode>
                <c:ptCount val="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74-0841-A7B9-5181D0B9B8A0}"/>
            </c:ext>
          </c:extLst>
        </c:ser>
        <c:ser>
          <c:idx val="2"/>
          <c:order val="2"/>
          <c:tx>
            <c:v>Gaz naturel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Ouganda!$C$18:$AN$18</c:f>
              <c:numCache>
                <c:formatCode>General</c:formatCode>
                <c:ptCount val="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C74-0841-A7B9-5181D0B9B8A0}"/>
            </c:ext>
          </c:extLst>
        </c:ser>
        <c:ser>
          <c:idx val="3"/>
          <c:order val="3"/>
          <c:tx>
            <c:v>Nucléaire et renouvelables 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Ouganda!$C$28:$AN$28</c:f>
              <c:numCache>
                <c:formatCode>General</c:formatCode>
                <c:ptCount val="38"/>
                <c:pt idx="0">
                  <c:v>1748855799.8348742</c:v>
                </c:pt>
                <c:pt idx="1">
                  <c:v>1282271155.0561059</c:v>
                </c:pt>
                <c:pt idx="2">
                  <c:v>1448005013.8697417</c:v>
                </c:pt>
                <c:pt idx="3">
                  <c:v>1263587423.4653857</c:v>
                </c:pt>
                <c:pt idx="4">
                  <c:v>1623444215.9913354</c:v>
                </c:pt>
                <c:pt idx="5">
                  <c:v>1850359044.0841625</c:v>
                </c:pt>
                <c:pt idx="6">
                  <c:v>1753762947.319</c:v>
                </c:pt>
                <c:pt idx="7">
                  <c:v>1685671124.25</c:v>
                </c:pt>
                <c:pt idx="8">
                  <c:v>1689235629.5946</c:v>
                </c:pt>
                <c:pt idx="9">
                  <c:v>1981033408.1322773</c:v>
                </c:pt>
                <c:pt idx="10">
                  <c:v>2193152211.664031</c:v>
                </c:pt>
                <c:pt idx="11">
                  <c:v>2231437981.3555312</c:v>
                </c:pt>
                <c:pt idx="12">
                  <c:v>2733054233.9648843</c:v>
                </c:pt>
                <c:pt idx="13">
                  <c:v>2788883201.7130308</c:v>
                </c:pt>
                <c:pt idx="14">
                  <c:v>3025602363.2975316</c:v>
                </c:pt>
                <c:pt idx="15">
                  <c:v>3083474067.9190307</c:v>
                </c:pt>
                <c:pt idx="16">
                  <c:v>3384028521.3718843</c:v>
                </c:pt>
                <c:pt idx="17">
                  <c:v>3559239667.8990307</c:v>
                </c:pt>
                <c:pt idx="18">
                  <c:v>3530867417.2046003</c:v>
                </c:pt>
                <c:pt idx="19">
                  <c:v>3550529667.823</c:v>
                </c:pt>
                <c:pt idx="20">
                  <c:v>4490192387.2210178</c:v>
                </c:pt>
                <c:pt idx="21">
                  <c:v>4691486442.0205879</c:v>
                </c:pt>
                <c:pt idx="22">
                  <c:v>4953746268.1787071</c:v>
                </c:pt>
                <c:pt idx="23">
                  <c:v>5250316410.7413425</c:v>
                </c:pt>
                <c:pt idx="24">
                  <c:v>5409563768.8014994</c:v>
                </c:pt>
                <c:pt idx="25">
                  <c:v>5605750989.7924833</c:v>
                </c:pt>
                <c:pt idx="26">
                  <c:v>3434641167.51442</c:v>
                </c:pt>
                <c:pt idx="27">
                  <c:v>4148336892.0672469</c:v>
                </c:pt>
                <c:pt idx="28">
                  <c:v>4985201607.9281158</c:v>
                </c:pt>
                <c:pt idx="29">
                  <c:v>4468810359.1713476</c:v>
                </c:pt>
                <c:pt idx="30">
                  <c:v>4210035848.5584717</c:v>
                </c:pt>
                <c:pt idx="31">
                  <c:v>4914543632.9560251</c:v>
                </c:pt>
                <c:pt idx="32">
                  <c:v>7495954664.4448967</c:v>
                </c:pt>
                <c:pt idx="33">
                  <c:v>9741978206.5847397</c:v>
                </c:pt>
                <c:pt idx="34">
                  <c:v>9906486861.3010063</c:v>
                </c:pt>
                <c:pt idx="35">
                  <c:v>9437760481.9737473</c:v>
                </c:pt>
                <c:pt idx="36">
                  <c:v>9647015293.5183983</c:v>
                </c:pt>
                <c:pt idx="37">
                  <c:v>9698536178.8769989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C74-0841-A7B9-5181D0B9B8A0}"/>
            </c:ext>
          </c:extLst>
        </c:ser>
        <c:ser>
          <c:idx val="4"/>
          <c:order val="4"/>
          <c:tx>
            <c:v>Hydrocarbures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Ouganda!$C$23:$AN$23</c:f>
              <c:numCache>
                <c:formatCode>General</c:formatCode>
                <c:ptCount val="38"/>
                <c:pt idx="0">
                  <c:v>3041434894.7787571</c:v>
                </c:pt>
                <c:pt idx="1">
                  <c:v>1941199975.5451057</c:v>
                </c:pt>
                <c:pt idx="2">
                  <c:v>2305174971.6757417</c:v>
                </c:pt>
                <c:pt idx="3">
                  <c:v>2244512472.4413857</c:v>
                </c:pt>
                <c:pt idx="4">
                  <c:v>2311490519.543335</c:v>
                </c:pt>
                <c:pt idx="5">
                  <c:v>2487162469.4281621</c:v>
                </c:pt>
                <c:pt idx="6">
                  <c:v>2663083717.2909999</c:v>
                </c:pt>
                <c:pt idx="7">
                  <c:v>2337485646.2139997</c:v>
                </c:pt>
                <c:pt idx="8">
                  <c:v>3558171669.9905996</c:v>
                </c:pt>
                <c:pt idx="9">
                  <c:v>3243949028.7402768</c:v>
                </c:pt>
                <c:pt idx="10">
                  <c:v>3500072442.9220309</c:v>
                </c:pt>
                <c:pt idx="11">
                  <c:v>3804436787.371531</c:v>
                </c:pt>
                <c:pt idx="12">
                  <c:v>3998938663.8028841</c:v>
                </c:pt>
                <c:pt idx="13">
                  <c:v>4111496798.8790312</c:v>
                </c:pt>
                <c:pt idx="14">
                  <c:v>4228341129.3335314</c:v>
                </c:pt>
                <c:pt idx="15">
                  <c:v>4173539929.579031</c:v>
                </c:pt>
                <c:pt idx="16">
                  <c:v>4247415687.3718839</c:v>
                </c:pt>
                <c:pt idx="17">
                  <c:v>4358813554.3590307</c:v>
                </c:pt>
                <c:pt idx="18">
                  <c:v>4941568485.6275997</c:v>
                </c:pt>
                <c:pt idx="19">
                  <c:v>4941573585.0629997</c:v>
                </c:pt>
                <c:pt idx="20">
                  <c:v>5789020635.0980186</c:v>
                </c:pt>
                <c:pt idx="21">
                  <c:v>5938266452.5815878</c:v>
                </c:pt>
                <c:pt idx="22">
                  <c:v>5996848967.4437065</c:v>
                </c:pt>
                <c:pt idx="23">
                  <c:v>6295416095.8003426</c:v>
                </c:pt>
                <c:pt idx="24">
                  <c:v>6663191383.2774992</c:v>
                </c:pt>
                <c:pt idx="25">
                  <c:v>8313249324.0624819</c:v>
                </c:pt>
                <c:pt idx="26">
                  <c:v>9864363935.7444191</c:v>
                </c:pt>
                <c:pt idx="27">
                  <c:v>11954632317.699245</c:v>
                </c:pt>
                <c:pt idx="28">
                  <c:v>11948145373.404116</c:v>
                </c:pt>
                <c:pt idx="29">
                  <c:v>12924425686.415348</c:v>
                </c:pt>
                <c:pt idx="30">
                  <c:v>14882402706.714472</c:v>
                </c:pt>
                <c:pt idx="31">
                  <c:v>15813136685.148026</c:v>
                </c:pt>
                <c:pt idx="32">
                  <c:v>14994530229.212898</c:v>
                </c:pt>
                <c:pt idx="33">
                  <c:v>15613977190.471741</c:v>
                </c:pt>
                <c:pt idx="34">
                  <c:v>18864569487.335007</c:v>
                </c:pt>
                <c:pt idx="35">
                  <c:v>18776629379.094746</c:v>
                </c:pt>
                <c:pt idx="36">
                  <c:v>19468119919.086399</c:v>
                </c:pt>
                <c:pt idx="37">
                  <c:v>18782334248.000004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C74-0841-A7B9-5181D0B9B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9085775"/>
        <c:axId val="1278772479"/>
      </c:scatterChart>
      <c:valAx>
        <c:axId val="12790857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Années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78772479"/>
        <c:crosses val="autoZero"/>
        <c:crossBetween val="midCat"/>
      </c:valAx>
      <c:valAx>
        <c:axId val="1278772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Rejet de CO2 en 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790857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Rejet</a:t>
            </a:r>
            <a:r>
              <a:rPr lang="en-US" baseline="0"/>
              <a:t> C02 en g par année en Norvège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Rejet de CO2 global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Norvège!$C$10:$AN$10</c:f>
              <c:numCache>
                <c:formatCode>General</c:formatCode>
                <c:ptCount val="38"/>
                <c:pt idx="0">
                  <c:v>124770896395836.8</c:v>
                </c:pt>
                <c:pt idx="1">
                  <c:v>116502018635124.03</c:v>
                </c:pt>
                <c:pt idx="2">
                  <c:v>107558417621324.31</c:v>
                </c:pt>
                <c:pt idx="3">
                  <c:v>107630054022816.3</c:v>
                </c:pt>
                <c:pt idx="4">
                  <c:v>115758902447352.72</c:v>
                </c:pt>
                <c:pt idx="5">
                  <c:v>120580111923225.12</c:v>
                </c:pt>
                <c:pt idx="6">
                  <c:v>128004112284848.67</c:v>
                </c:pt>
                <c:pt idx="7">
                  <c:v>124691539308376.09</c:v>
                </c:pt>
                <c:pt idx="8">
                  <c:v>122259443312500.62</c:v>
                </c:pt>
                <c:pt idx="9">
                  <c:v>118596772737131.67</c:v>
                </c:pt>
                <c:pt idx="10">
                  <c:v>124848042272859.03</c:v>
                </c:pt>
                <c:pt idx="11">
                  <c:v>118182580072298.98</c:v>
                </c:pt>
                <c:pt idx="12">
                  <c:v>125294348584083.61</c:v>
                </c:pt>
                <c:pt idx="13">
                  <c:v>123412073078908.45</c:v>
                </c:pt>
                <c:pt idx="14">
                  <c:v>127342990496450.89</c:v>
                </c:pt>
                <c:pt idx="15">
                  <c:v>133773820017352.09</c:v>
                </c:pt>
                <c:pt idx="16">
                  <c:v>139118000073280.19</c:v>
                </c:pt>
                <c:pt idx="17">
                  <c:v>142710528936746.09</c:v>
                </c:pt>
                <c:pt idx="18">
                  <c:v>144209905940896.59</c:v>
                </c:pt>
                <c:pt idx="19">
                  <c:v>147908646333497.44</c:v>
                </c:pt>
                <c:pt idx="20">
                  <c:v>140099302877567.27</c:v>
                </c:pt>
                <c:pt idx="21">
                  <c:v>145944651948114.41</c:v>
                </c:pt>
                <c:pt idx="22">
                  <c:v>147457532507484.59</c:v>
                </c:pt>
                <c:pt idx="23">
                  <c:v>156266974589180.16</c:v>
                </c:pt>
                <c:pt idx="24">
                  <c:v>158543627826416.72</c:v>
                </c:pt>
                <c:pt idx="25">
                  <c:v>150086237269033.78</c:v>
                </c:pt>
                <c:pt idx="26">
                  <c:v>144906526355208.53</c:v>
                </c:pt>
                <c:pt idx="27">
                  <c:v>156421706250102.94</c:v>
                </c:pt>
                <c:pt idx="28">
                  <c:v>144242373943392.62</c:v>
                </c:pt>
                <c:pt idx="29">
                  <c:v>155288690488046.25</c:v>
                </c:pt>
                <c:pt idx="30">
                  <c:v>145482044067067.56</c:v>
                </c:pt>
                <c:pt idx="31">
                  <c:v>140626058539505.53</c:v>
                </c:pt>
                <c:pt idx="32">
                  <c:v>139335014786130.56</c:v>
                </c:pt>
                <c:pt idx="33">
                  <c:v>141986187240510.22</c:v>
                </c:pt>
                <c:pt idx="34">
                  <c:v>141478380858658.62</c:v>
                </c:pt>
                <c:pt idx="35">
                  <c:v>145597689057754.34</c:v>
                </c:pt>
                <c:pt idx="36">
                  <c:v>146690545141304.78</c:v>
                </c:pt>
                <c:pt idx="37">
                  <c:v>142432175747926.19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7B-0F4E-93ED-05DDA4D63515}"/>
            </c:ext>
          </c:extLst>
        </c:ser>
        <c:ser>
          <c:idx val="1"/>
          <c:order val="1"/>
          <c:tx>
            <c:v>Charbon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Norvège!$C$14:$AN$14</c:f>
              <c:numCache>
                <c:formatCode>General</c:formatCode>
                <c:ptCount val="38"/>
                <c:pt idx="0">
                  <c:v>7249086853572.2344</c:v>
                </c:pt>
                <c:pt idx="1">
                  <c:v>7646399783499.0098</c:v>
                </c:pt>
                <c:pt idx="2">
                  <c:v>7653896253875.0127</c:v>
                </c:pt>
                <c:pt idx="3">
                  <c:v>7743853898386.7734</c:v>
                </c:pt>
                <c:pt idx="4">
                  <c:v>8208635061697.5771</c:v>
                </c:pt>
                <c:pt idx="5">
                  <c:v>8276103295081.3291</c:v>
                </c:pt>
                <c:pt idx="6">
                  <c:v>7758846839138.7803</c:v>
                </c:pt>
                <c:pt idx="7">
                  <c:v>7833811542898.5332</c:v>
                </c:pt>
                <c:pt idx="8">
                  <c:v>7578931550115.2607</c:v>
                </c:pt>
                <c:pt idx="9">
                  <c:v>5944701008151.8594</c:v>
                </c:pt>
                <c:pt idx="10">
                  <c:v>5809764541384.082</c:v>
                </c:pt>
                <c:pt idx="11">
                  <c:v>5082606914914.001</c:v>
                </c:pt>
                <c:pt idx="12">
                  <c:v>5150075148298.0303</c:v>
                </c:pt>
                <c:pt idx="13">
                  <c:v>5719806896872.3203</c:v>
                </c:pt>
                <c:pt idx="14">
                  <c:v>6604390401237.9111</c:v>
                </c:pt>
                <c:pt idx="15">
                  <c:v>7316555086955.9854</c:v>
                </c:pt>
                <c:pt idx="16">
                  <c:v>7181618620188.4844</c:v>
                </c:pt>
                <c:pt idx="17">
                  <c:v>7069171564548.7148</c:v>
                </c:pt>
                <c:pt idx="18">
                  <c:v>7803825661394.5205</c:v>
                </c:pt>
                <c:pt idx="19">
                  <c:v>7518959787107.5137</c:v>
                </c:pt>
                <c:pt idx="20">
                  <c:v>7414009201843.7471</c:v>
                </c:pt>
                <c:pt idx="21">
                  <c:v>6589397460485.9053</c:v>
                </c:pt>
                <c:pt idx="22">
                  <c:v>5862239834015.8252</c:v>
                </c:pt>
                <c:pt idx="23">
                  <c:v>5667331604240.5771</c:v>
                </c:pt>
                <c:pt idx="24">
                  <c:v>6334517467702.6318</c:v>
                </c:pt>
                <c:pt idx="25">
                  <c:v>5389962200329.2959</c:v>
                </c:pt>
                <c:pt idx="26">
                  <c:v>4625322221979.4775</c:v>
                </c:pt>
                <c:pt idx="27">
                  <c:v>5060117503786.2695</c:v>
                </c:pt>
                <c:pt idx="28">
                  <c:v>5225039852057.7832</c:v>
                </c:pt>
                <c:pt idx="29">
                  <c:v>3928150477013.1318</c:v>
                </c:pt>
                <c:pt idx="30">
                  <c:v>5097599855666.0078</c:v>
                </c:pt>
                <c:pt idx="31">
                  <c:v>5344983378073.2773</c:v>
                </c:pt>
                <c:pt idx="32">
                  <c:v>5584870430104.8203</c:v>
                </c:pt>
                <c:pt idx="33">
                  <c:v>5809764541384.082</c:v>
                </c:pt>
                <c:pt idx="34">
                  <c:v>6140943177940.7441</c:v>
                </c:pt>
                <c:pt idx="35">
                  <c:v>5590495570565.415</c:v>
                </c:pt>
                <c:pt idx="36">
                  <c:v>5584874140429.957</c:v>
                </c:pt>
                <c:pt idx="37">
                  <c:v>6212059902323.2803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7B-0F4E-93ED-05DDA4D63515}"/>
            </c:ext>
          </c:extLst>
        </c:ser>
        <c:ser>
          <c:idx val="2"/>
          <c:order val="2"/>
          <c:tx>
            <c:v>Gaz naturel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Norvège!$C$19:$AN$19</c:f>
              <c:numCache>
                <c:formatCode>General</c:formatCode>
                <c:ptCount val="38"/>
                <c:pt idx="0">
                  <c:v>4380458969250</c:v>
                </c:pt>
                <c:pt idx="1">
                  <c:v>4274733606000</c:v>
                </c:pt>
                <c:pt idx="2">
                  <c:v>4823133922620</c:v>
                </c:pt>
                <c:pt idx="3">
                  <c:v>5688824626680</c:v>
                </c:pt>
                <c:pt idx="4">
                  <c:v>5047043097330</c:v>
                </c:pt>
                <c:pt idx="5">
                  <c:v>5882330615850</c:v>
                </c:pt>
                <c:pt idx="6">
                  <c:v>10719523154340</c:v>
                </c:pt>
                <c:pt idx="7">
                  <c:v>7433921757600</c:v>
                </c:pt>
                <c:pt idx="8">
                  <c:v>8680909555500</c:v>
                </c:pt>
                <c:pt idx="9">
                  <c:v>9052948536449.998</c:v>
                </c:pt>
                <c:pt idx="10">
                  <c:v>9975902383200</c:v>
                </c:pt>
                <c:pt idx="11">
                  <c:v>9699759164160</c:v>
                </c:pt>
                <c:pt idx="12">
                  <c:v>16314874319767.379</c:v>
                </c:pt>
                <c:pt idx="13">
                  <c:v>11311465175965.498</c:v>
                </c:pt>
                <c:pt idx="14">
                  <c:v>11815573994733.602</c:v>
                </c:pt>
                <c:pt idx="15">
                  <c:v>12997327529043</c:v>
                </c:pt>
                <c:pt idx="16">
                  <c:v>12946422881145.391</c:v>
                </c:pt>
                <c:pt idx="17">
                  <c:v>16205350020192.332</c:v>
                </c:pt>
                <c:pt idx="18">
                  <c:v>15766267934699.098</c:v>
                </c:pt>
                <c:pt idx="19">
                  <c:v>19172928152704.051</c:v>
                </c:pt>
                <c:pt idx="20">
                  <c:v>17370665317874.779</c:v>
                </c:pt>
                <c:pt idx="21">
                  <c:v>20059326626452.113</c:v>
                </c:pt>
                <c:pt idx="22">
                  <c:v>23453231748022.441</c:v>
                </c:pt>
                <c:pt idx="23">
                  <c:v>27344060895563.277</c:v>
                </c:pt>
                <c:pt idx="24">
                  <c:v>34734347624093.887</c:v>
                </c:pt>
                <c:pt idx="25">
                  <c:v>22976126558600.672</c:v>
                </c:pt>
                <c:pt idx="26">
                  <c:v>14598127140971.008</c:v>
                </c:pt>
                <c:pt idx="27">
                  <c:v>19000653622378.152</c:v>
                </c:pt>
                <c:pt idx="28">
                  <c:v>14973837386583.35</c:v>
                </c:pt>
                <c:pt idx="29">
                  <c:v>28071101392336.957</c:v>
                </c:pt>
                <c:pt idx="30">
                  <c:v>23675813081955.617</c:v>
                </c:pt>
                <c:pt idx="31">
                  <c:v>19561576788399.316</c:v>
                </c:pt>
                <c:pt idx="32">
                  <c:v>18523787128462.07</c:v>
                </c:pt>
                <c:pt idx="33">
                  <c:v>21970391668025.488</c:v>
                </c:pt>
                <c:pt idx="34">
                  <c:v>24958042938427.895</c:v>
                </c:pt>
                <c:pt idx="35">
                  <c:v>22237460012297.969</c:v>
                </c:pt>
                <c:pt idx="36">
                  <c:v>21255278439562.051</c:v>
                </c:pt>
                <c:pt idx="37">
                  <c:v>17267025992696.59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7B-0F4E-93ED-05DDA4D63515}"/>
            </c:ext>
          </c:extLst>
        </c:ser>
        <c:ser>
          <c:idx val="3"/>
          <c:order val="3"/>
          <c:tx>
            <c:v>Nucléaire et renouvelables 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Norvège!$C$29:$AN$29</c:f>
              <c:numCache>
                <c:formatCode>General</c:formatCode>
                <c:ptCount val="38"/>
                <c:pt idx="0">
                  <c:v>5109837121191.54</c:v>
                </c:pt>
                <c:pt idx="1">
                  <c:v>5594761780051.6504</c:v>
                </c:pt>
                <c:pt idx="2">
                  <c:v>5552963715337.1914</c:v>
                </c:pt>
                <c:pt idx="3">
                  <c:v>6245188525256.2617</c:v>
                </c:pt>
                <c:pt idx="4">
                  <c:v>6341127606760.3789</c:v>
                </c:pt>
                <c:pt idx="5">
                  <c:v>6298007428820.9434</c:v>
                </c:pt>
                <c:pt idx="6">
                  <c:v>5958139708640.5654</c:v>
                </c:pt>
                <c:pt idx="7">
                  <c:v>6306513402665.3115</c:v>
                </c:pt>
                <c:pt idx="8">
                  <c:v>6499452848302.543</c:v>
                </c:pt>
                <c:pt idx="9">
                  <c:v>6993134427870.6152</c:v>
                </c:pt>
                <c:pt idx="10">
                  <c:v>7097239743383.2168</c:v>
                </c:pt>
                <c:pt idx="11">
                  <c:v>6711236761894.4121</c:v>
                </c:pt>
                <c:pt idx="12">
                  <c:v>6922376146306.1123</c:v>
                </c:pt>
                <c:pt idx="13">
                  <c:v>7064581143156.2598</c:v>
                </c:pt>
                <c:pt idx="14">
                  <c:v>6780368950442.8408</c:v>
                </c:pt>
                <c:pt idx="15">
                  <c:v>7243323207260.8867</c:v>
                </c:pt>
                <c:pt idx="16">
                  <c:v>6532377416104.79</c:v>
                </c:pt>
                <c:pt idx="17">
                  <c:v>6685096218112.957</c:v>
                </c:pt>
                <c:pt idx="18">
                  <c:v>7030997441420.166</c:v>
                </c:pt>
                <c:pt idx="19">
                  <c:v>7283413381672.8799</c:v>
                </c:pt>
                <c:pt idx="20">
                  <c:v>8123644644136.9189</c:v>
                </c:pt>
                <c:pt idx="21">
                  <c:v>7390713468314.5723</c:v>
                </c:pt>
                <c:pt idx="22">
                  <c:v>7528556466863.7832</c:v>
                </c:pt>
                <c:pt idx="23">
                  <c:v>6460854379332.042</c:v>
                </c:pt>
                <c:pt idx="24">
                  <c:v>6664806861772.7773</c:v>
                </c:pt>
                <c:pt idx="25">
                  <c:v>7749986594389.8945</c:v>
                </c:pt>
                <c:pt idx="26">
                  <c:v>7015475308335.6885</c:v>
                </c:pt>
                <c:pt idx="27">
                  <c:v>7621436729123.2236</c:v>
                </c:pt>
                <c:pt idx="28">
                  <c:v>7827269854168.3633</c:v>
                </c:pt>
                <c:pt idx="29">
                  <c:v>7033339537692.1738</c:v>
                </c:pt>
                <c:pt idx="30">
                  <c:v>6953197191891.7695</c:v>
                </c:pt>
                <c:pt idx="31">
                  <c:v>6933662668366.3525</c:v>
                </c:pt>
                <c:pt idx="32">
                  <c:v>7708149628471.6484</c:v>
                </c:pt>
                <c:pt idx="33">
                  <c:v>7239431144029.0234</c:v>
                </c:pt>
                <c:pt idx="34">
                  <c:v>7431602525310.1182</c:v>
                </c:pt>
                <c:pt idx="35">
                  <c:v>7405157955359.4287</c:v>
                </c:pt>
                <c:pt idx="36">
                  <c:v>7590477760220.2129</c:v>
                </c:pt>
                <c:pt idx="37">
                  <c:v>7567907213096.3027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97B-0F4E-93ED-05DDA4D63515}"/>
            </c:ext>
          </c:extLst>
        </c:ser>
        <c:ser>
          <c:idx val="4"/>
          <c:order val="4"/>
          <c:tx>
            <c:v>Hydrocarbures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Norvège!$C$24:$AN$24</c:f>
              <c:numCache>
                <c:formatCode>General</c:formatCode>
                <c:ptCount val="38"/>
                <c:pt idx="0">
                  <c:v>108031513451823.02</c:v>
                </c:pt>
                <c:pt idx="1">
                  <c:v>98986123465573.359</c:v>
                </c:pt>
                <c:pt idx="2">
                  <c:v>89528423729492.109</c:v>
                </c:pt>
                <c:pt idx="3">
                  <c:v>87952186972493.25</c:v>
                </c:pt>
                <c:pt idx="4">
                  <c:v>96162096681564.766</c:v>
                </c:pt>
                <c:pt idx="5">
                  <c:v>100123670583472.86</c:v>
                </c:pt>
                <c:pt idx="6">
                  <c:v>103567602582729.33</c:v>
                </c:pt>
                <c:pt idx="7">
                  <c:v>103117292605212.25</c:v>
                </c:pt>
                <c:pt idx="8">
                  <c:v>99500149358582.812</c:v>
                </c:pt>
                <c:pt idx="9">
                  <c:v>96605988764659.203</c:v>
                </c:pt>
                <c:pt idx="10">
                  <c:v>101965135604891.73</c:v>
                </c:pt>
                <c:pt idx="11">
                  <c:v>96688977231330.578</c:v>
                </c:pt>
                <c:pt idx="12">
                  <c:v>96907022969712.094</c:v>
                </c:pt>
                <c:pt idx="13">
                  <c:v>99316219862914.375</c:v>
                </c:pt>
                <c:pt idx="14">
                  <c:v>102142657150036.53</c:v>
                </c:pt>
                <c:pt idx="15">
                  <c:v>106216614194092.22</c:v>
                </c:pt>
                <c:pt idx="16">
                  <c:v>112457581155841.52</c:v>
                </c:pt>
                <c:pt idx="17">
                  <c:v>112750911133892.08</c:v>
                </c:pt>
                <c:pt idx="18">
                  <c:v>113608814903382.83</c:v>
                </c:pt>
                <c:pt idx="19">
                  <c:v>113933345012013</c:v>
                </c:pt>
                <c:pt idx="20">
                  <c:v>107190983713711.81</c:v>
                </c:pt>
                <c:pt idx="21">
                  <c:v>111905214392861.83</c:v>
                </c:pt>
                <c:pt idx="22">
                  <c:v>110613504458582.53</c:v>
                </c:pt>
                <c:pt idx="23">
                  <c:v>116794727710044.28</c:v>
                </c:pt>
                <c:pt idx="24">
                  <c:v>110809955872847.42</c:v>
                </c:pt>
                <c:pt idx="25">
                  <c:v>113970161915713.92</c:v>
                </c:pt>
                <c:pt idx="26">
                  <c:v>118667601683922.36</c:v>
                </c:pt>
                <c:pt idx="27">
                  <c:v>124739498394815.3</c:v>
                </c:pt>
                <c:pt idx="28">
                  <c:v>116216226850583.12</c:v>
                </c:pt>
                <c:pt idx="29">
                  <c:v>116256099081003.97</c:v>
                </c:pt>
                <c:pt idx="30">
                  <c:v>109755433937554.17</c:v>
                </c:pt>
                <c:pt idx="31">
                  <c:v>108785835704666.58</c:v>
                </c:pt>
                <c:pt idx="32">
                  <c:v>107518207599092.02</c:v>
                </c:pt>
                <c:pt idx="33">
                  <c:v>106966599887071.61</c:v>
                </c:pt>
                <c:pt idx="34">
                  <c:v>102947792216979.88</c:v>
                </c:pt>
                <c:pt idx="35">
                  <c:v>110364575519531.52</c:v>
                </c:pt>
                <c:pt idx="36">
                  <c:v>112259914801092.55</c:v>
                </c:pt>
                <c:pt idx="37">
                  <c:v>111385182639810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97B-0F4E-93ED-05DDA4D635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9085775"/>
        <c:axId val="1278772479"/>
      </c:scatterChart>
      <c:valAx>
        <c:axId val="12790857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Années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78772479"/>
        <c:crosses val="autoZero"/>
        <c:crossBetween val="midCat"/>
      </c:valAx>
      <c:valAx>
        <c:axId val="1278772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Rejet de CO2 en 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790857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Part du rejet de CO2 en</a:t>
            </a:r>
            <a:r>
              <a:rPr lang="fr-FR" baseline="0"/>
              <a:t> Norvège</a:t>
            </a:r>
            <a:r>
              <a:rPr lang="fr-FR"/>
              <a:t> en 2017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AEE-0845-850B-7942A5B51E7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AEE-0845-850B-7942A5B51E7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AEE-0845-850B-7942A5B51E7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AEE-0845-850B-7942A5B51E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(USA!$AN$15,USA!$AN$20,USA!$AN$25,USA!$AN$30)</c:f>
              <c:numCache>
                <c:formatCode>General</c:formatCode>
                <c:ptCount val="4"/>
                <c:pt idx="0">
                  <c:v>23.020150948871713</c:v>
                </c:pt>
                <c:pt idx="1">
                  <c:v>19.160382100355534</c:v>
                </c:pt>
                <c:pt idx="2">
                  <c:v>57.179095688984795</c:v>
                </c:pt>
                <c:pt idx="3">
                  <c:v>0.64037126178795878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AEE-0845-850B-7942A5B51E7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983568628941328"/>
          <c:y val="0.45631572393634723"/>
          <c:w val="6.824831515655061E-2"/>
          <c:h val="0.149950882574368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Consommation énergétique par année en Norvège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Consommation énergétique global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Norvège!$C$9:$AN$9</c:f>
              <c:numCache>
                <c:formatCode>General</c:formatCode>
                <c:ptCount val="38"/>
                <c:pt idx="0">
                  <c:v>398528573268.08789</c:v>
                </c:pt>
                <c:pt idx="1">
                  <c:v>412524939688.65704</c:v>
                </c:pt>
                <c:pt idx="2">
                  <c:v>400978162895.50763</c:v>
                </c:pt>
                <c:pt idx="3">
                  <c:v>436092049015.46747</c:v>
                </c:pt>
                <c:pt idx="4">
                  <c:v>449169330582.00684</c:v>
                </c:pt>
                <c:pt idx="5">
                  <c:v>453779636966.64587</c:v>
                </c:pt>
                <c:pt idx="6">
                  <c:v>452603370796.58746</c:v>
                </c:pt>
                <c:pt idx="7">
                  <c:v>461158749071.00488</c:v>
                </c:pt>
                <c:pt idx="8">
                  <c:v>469577195317.95581</c:v>
                </c:pt>
                <c:pt idx="9">
                  <c:v>490168356353.2951</c:v>
                </c:pt>
                <c:pt idx="10">
                  <c:v>503758070964.66144</c:v>
                </c:pt>
                <c:pt idx="11">
                  <c:v>476919883419.03345</c:v>
                </c:pt>
                <c:pt idx="12">
                  <c:v>504760332850.49707</c:v>
                </c:pt>
                <c:pt idx="13">
                  <c:v>502410237939.4505</c:v>
                </c:pt>
                <c:pt idx="14">
                  <c:v>493672134040.43976</c:v>
                </c:pt>
                <c:pt idx="15">
                  <c:v>525282340432.44183</c:v>
                </c:pt>
                <c:pt idx="16">
                  <c:v>496636012993.74524</c:v>
                </c:pt>
                <c:pt idx="17">
                  <c:v>512846972100.21692</c:v>
                </c:pt>
                <c:pt idx="18">
                  <c:v>530775598153.00513</c:v>
                </c:pt>
                <c:pt idx="19">
                  <c:v>552204585663.99377</c:v>
                </c:pt>
                <c:pt idx="20">
                  <c:v>581734647158.19299</c:v>
                </c:pt>
                <c:pt idx="21">
                  <c:v>556532735316.11853</c:v>
                </c:pt>
                <c:pt idx="22">
                  <c:v>569877052925.23792</c:v>
                </c:pt>
                <c:pt idx="23">
                  <c:v>533368121296.72125</c:v>
                </c:pt>
                <c:pt idx="24">
                  <c:v>556338451388.99939</c:v>
                </c:pt>
                <c:pt idx="25">
                  <c:v>583086305272.97473</c:v>
                </c:pt>
                <c:pt idx="26">
                  <c:v>529473163049.11914</c:v>
                </c:pt>
                <c:pt idx="27">
                  <c:v>578496634393.7489</c:v>
                </c:pt>
                <c:pt idx="28">
                  <c:v>568839859438.55554</c:v>
                </c:pt>
                <c:pt idx="29">
                  <c:v>561406755273.96069</c:v>
                </c:pt>
                <c:pt idx="30">
                  <c:v>539888638402.74005</c:v>
                </c:pt>
                <c:pt idx="31">
                  <c:v>527508511377.18829</c:v>
                </c:pt>
                <c:pt idx="32">
                  <c:v>562367329141.2334</c:v>
                </c:pt>
                <c:pt idx="33">
                  <c:v>547371551247.00873</c:v>
                </c:pt>
                <c:pt idx="34">
                  <c:v>560370054524.23889</c:v>
                </c:pt>
                <c:pt idx="35">
                  <c:v>560017592114.68848</c:v>
                </c:pt>
                <c:pt idx="36">
                  <c:v>568937801672.11853</c:v>
                </c:pt>
                <c:pt idx="37">
                  <c:v>557237742263.61963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52-B840-820F-14E5D0708EB1}"/>
            </c:ext>
          </c:extLst>
        </c:ser>
        <c:ser>
          <c:idx val="1"/>
          <c:order val="1"/>
          <c:tx>
            <c:v>Charbon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Norvège!$C$13:$AN$13</c:f>
              <c:numCache>
                <c:formatCode>General</c:formatCode>
                <c:ptCount val="38"/>
                <c:pt idx="0">
                  <c:v>7630617740.6023521</c:v>
                </c:pt>
                <c:pt idx="1">
                  <c:v>8048841877.3673792</c:v>
                </c:pt>
                <c:pt idx="2">
                  <c:v>8056732898.8158026</c:v>
                </c:pt>
                <c:pt idx="3">
                  <c:v>8151425156.1966038</c:v>
                </c:pt>
                <c:pt idx="4">
                  <c:v>8640668485.9974499</c:v>
                </c:pt>
                <c:pt idx="5">
                  <c:v>8711687679.0329781</c:v>
                </c:pt>
                <c:pt idx="6">
                  <c:v>8167207199.0934525</c:v>
                </c:pt>
                <c:pt idx="7">
                  <c:v>8246117413.5774031</c:v>
                </c:pt>
                <c:pt idx="8">
                  <c:v>7977822684.3318539</c:v>
                </c:pt>
                <c:pt idx="9">
                  <c:v>6257580008.580905</c:v>
                </c:pt>
                <c:pt idx="10">
                  <c:v>6115541622.5095596</c:v>
                </c:pt>
                <c:pt idx="11">
                  <c:v>5350112542.0147381</c:v>
                </c:pt>
                <c:pt idx="12">
                  <c:v>5421131735.0505581</c:v>
                </c:pt>
                <c:pt idx="13">
                  <c:v>6020849365.1287584</c:v>
                </c:pt>
                <c:pt idx="14">
                  <c:v>6951989896.0399065</c:v>
                </c:pt>
                <c:pt idx="15">
                  <c:v>7701636933.6378794</c:v>
                </c:pt>
                <c:pt idx="16">
                  <c:v>7559598547.5668259</c:v>
                </c:pt>
                <c:pt idx="17">
                  <c:v>7441233225.8407526</c:v>
                </c:pt>
                <c:pt idx="18">
                  <c:v>8214553327.7837057</c:v>
                </c:pt>
                <c:pt idx="19">
                  <c:v>7914694512.744751</c:v>
                </c:pt>
                <c:pt idx="20">
                  <c:v>7804220212.4671021</c:v>
                </c:pt>
                <c:pt idx="21">
                  <c:v>6936207853.1430578</c:v>
                </c:pt>
                <c:pt idx="22">
                  <c:v>6170778772.6482372</c:v>
                </c:pt>
                <c:pt idx="23">
                  <c:v>5965612214.9900808</c:v>
                </c:pt>
                <c:pt idx="24">
                  <c:v>6667913123.8975077</c:v>
                </c:pt>
                <c:pt idx="25">
                  <c:v>5673644421.3992586</c:v>
                </c:pt>
                <c:pt idx="26">
                  <c:v>4868760233.6626081</c:v>
                </c:pt>
                <c:pt idx="27">
                  <c:v>5326439477.6697569</c:v>
                </c:pt>
                <c:pt idx="28">
                  <c:v>5500041949.5345087</c:v>
                </c:pt>
                <c:pt idx="29">
                  <c:v>4134895238.9611917</c:v>
                </c:pt>
                <c:pt idx="30">
                  <c:v>5365894584.9115868</c:v>
                </c:pt>
                <c:pt idx="31">
                  <c:v>5626298292.7087126</c:v>
                </c:pt>
                <c:pt idx="32">
                  <c:v>5878810979.0577059</c:v>
                </c:pt>
                <c:pt idx="33">
                  <c:v>6115541622.5095596</c:v>
                </c:pt>
                <c:pt idx="34">
                  <c:v>6464150713.6218357</c:v>
                </c:pt>
                <c:pt idx="35">
                  <c:v>5884732179.5425425</c:v>
                </c:pt>
                <c:pt idx="36">
                  <c:v>5878814884.6631126</c:v>
                </c:pt>
                <c:pt idx="37">
                  <c:v>6539010423.4981899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552-B840-820F-14E5D0708EB1}"/>
            </c:ext>
          </c:extLst>
        </c:ser>
        <c:ser>
          <c:idx val="2"/>
          <c:order val="2"/>
          <c:tx>
            <c:v>Gaz naturel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Norvège!$C$18:$AN$18</c:f>
              <c:numCache>
                <c:formatCode>General</c:formatCode>
                <c:ptCount val="38"/>
                <c:pt idx="0">
                  <c:v>11231946075</c:v>
                </c:pt>
                <c:pt idx="1">
                  <c:v>10960855400</c:v>
                </c:pt>
                <c:pt idx="2">
                  <c:v>12367010058</c:v>
                </c:pt>
                <c:pt idx="3">
                  <c:v>14586729812</c:v>
                </c:pt>
                <c:pt idx="4">
                  <c:v>12941136147</c:v>
                </c:pt>
                <c:pt idx="5">
                  <c:v>15082899015</c:v>
                </c:pt>
                <c:pt idx="6">
                  <c:v>27485956806</c:v>
                </c:pt>
                <c:pt idx="7">
                  <c:v>19061337840</c:v>
                </c:pt>
                <c:pt idx="8">
                  <c:v>22258742450</c:v>
                </c:pt>
                <c:pt idx="9">
                  <c:v>23212688554.999996</c:v>
                </c:pt>
                <c:pt idx="10">
                  <c:v>25579236880</c:v>
                </c:pt>
                <c:pt idx="11">
                  <c:v>24871177344</c:v>
                </c:pt>
                <c:pt idx="12">
                  <c:v>41833011076.326614</c:v>
                </c:pt>
                <c:pt idx="13">
                  <c:v>29003756861.449997</c:v>
                </c:pt>
                <c:pt idx="14">
                  <c:v>30296343576.240002</c:v>
                </c:pt>
                <c:pt idx="15">
                  <c:v>33326480843.700001</c:v>
                </c:pt>
                <c:pt idx="16">
                  <c:v>33195956105.500999</c:v>
                </c:pt>
                <c:pt idx="17">
                  <c:v>41552179538.954697</c:v>
                </c:pt>
                <c:pt idx="18">
                  <c:v>40426328037.689995</c:v>
                </c:pt>
                <c:pt idx="19">
                  <c:v>49161354237.702698</c:v>
                </c:pt>
                <c:pt idx="20">
                  <c:v>44540167481.730202</c:v>
                </c:pt>
                <c:pt idx="21">
                  <c:v>51434170837.056702</c:v>
                </c:pt>
                <c:pt idx="22">
                  <c:v>60136491661.596001</c:v>
                </c:pt>
                <c:pt idx="23">
                  <c:v>70112976655.290451</c:v>
                </c:pt>
                <c:pt idx="24">
                  <c:v>89062429805.368942</c:v>
                </c:pt>
                <c:pt idx="25">
                  <c:v>58913145022.053001</c:v>
                </c:pt>
                <c:pt idx="26">
                  <c:v>37431095233.258995</c:v>
                </c:pt>
                <c:pt idx="27">
                  <c:v>48719624672.764496</c:v>
                </c:pt>
                <c:pt idx="28">
                  <c:v>38394454837.393204</c:v>
                </c:pt>
                <c:pt idx="29">
                  <c:v>71977183057.274246</c:v>
                </c:pt>
                <c:pt idx="30">
                  <c:v>60707213030.655426</c:v>
                </c:pt>
                <c:pt idx="31">
                  <c:v>50157889201.023888</c:v>
                </c:pt>
                <c:pt idx="32">
                  <c:v>47496890072.979668</c:v>
                </c:pt>
                <c:pt idx="33">
                  <c:v>56334337610.321762</c:v>
                </c:pt>
                <c:pt idx="34">
                  <c:v>63994981893.404861</c:v>
                </c:pt>
                <c:pt idx="35">
                  <c:v>57019128236.661461</c:v>
                </c:pt>
                <c:pt idx="36">
                  <c:v>54500713947.595001</c:v>
                </c:pt>
                <c:pt idx="37">
                  <c:v>44274425622.29895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552-B840-820F-14E5D0708EB1}"/>
            </c:ext>
          </c:extLst>
        </c:ser>
        <c:ser>
          <c:idx val="3"/>
          <c:order val="3"/>
          <c:tx>
            <c:v>Nucléaire et renouvelables 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Norvège!$C$28:$AN$28</c:f>
              <c:numCache>
                <c:formatCode>General</c:formatCode>
                <c:ptCount val="38"/>
                <c:pt idx="0">
                  <c:v>255491856059.577</c:v>
                </c:pt>
                <c:pt idx="1">
                  <c:v>279738089002.58252</c:v>
                </c:pt>
                <c:pt idx="2">
                  <c:v>277648185766.85956</c:v>
                </c:pt>
                <c:pt idx="3">
                  <c:v>312259426262.81311</c:v>
                </c:pt>
                <c:pt idx="4">
                  <c:v>317056380338.01892</c:v>
                </c:pt>
                <c:pt idx="5">
                  <c:v>314900371441.04718</c:v>
                </c:pt>
                <c:pt idx="6">
                  <c:v>297906985432.02826</c:v>
                </c:pt>
                <c:pt idx="7">
                  <c:v>315325670133.26556</c:v>
                </c:pt>
                <c:pt idx="8">
                  <c:v>324972642415.12714</c:v>
                </c:pt>
                <c:pt idx="9">
                  <c:v>349656721393.53076</c:v>
                </c:pt>
                <c:pt idx="10">
                  <c:v>354861987169.16083</c:v>
                </c:pt>
                <c:pt idx="11">
                  <c:v>335561838094.72058</c:v>
                </c:pt>
                <c:pt idx="12">
                  <c:v>346118807315.3056</c:v>
                </c:pt>
                <c:pt idx="13">
                  <c:v>353229057157.81299</c:v>
                </c:pt>
                <c:pt idx="14">
                  <c:v>339018447522.14203</c:v>
                </c:pt>
                <c:pt idx="15">
                  <c:v>362166160363.04431</c:v>
                </c:pt>
                <c:pt idx="16">
                  <c:v>326618870805.2395</c:v>
                </c:pt>
                <c:pt idx="17">
                  <c:v>334254810905.64783</c:v>
                </c:pt>
                <c:pt idx="18">
                  <c:v>351549872071.0083</c:v>
                </c:pt>
                <c:pt idx="19">
                  <c:v>364170669083.64398</c:v>
                </c:pt>
                <c:pt idx="20">
                  <c:v>406182232206.84595</c:v>
                </c:pt>
                <c:pt idx="21">
                  <c:v>369535673415.72864</c:v>
                </c:pt>
                <c:pt idx="22">
                  <c:v>376427823343.18915</c:v>
                </c:pt>
                <c:pt idx="23">
                  <c:v>323042718966.60211</c:v>
                </c:pt>
                <c:pt idx="24">
                  <c:v>333240343088.63885</c:v>
                </c:pt>
                <c:pt idx="25">
                  <c:v>387499329719.49475</c:v>
                </c:pt>
                <c:pt idx="26">
                  <c:v>350773765416.78442</c:v>
                </c:pt>
                <c:pt idx="27">
                  <c:v>381071836456.16119</c:v>
                </c:pt>
                <c:pt idx="28">
                  <c:v>391363492708.41815</c:v>
                </c:pt>
                <c:pt idx="29">
                  <c:v>351666976884.6087</c:v>
                </c:pt>
                <c:pt idx="30">
                  <c:v>347659859594.5885</c:v>
                </c:pt>
                <c:pt idx="31">
                  <c:v>346683133418.31763</c:v>
                </c:pt>
                <c:pt idx="32">
                  <c:v>385407481423.5824</c:v>
                </c:pt>
                <c:pt idx="33">
                  <c:v>361971557201.45117</c:v>
                </c:pt>
                <c:pt idx="34">
                  <c:v>371580126265.50592</c:v>
                </c:pt>
                <c:pt idx="35">
                  <c:v>370257897767.97144</c:v>
                </c:pt>
                <c:pt idx="36">
                  <c:v>379523888011.01062</c:v>
                </c:pt>
                <c:pt idx="37">
                  <c:v>378395360654.81512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552-B840-820F-14E5D0708EB1}"/>
            </c:ext>
          </c:extLst>
        </c:ser>
        <c:ser>
          <c:idx val="4"/>
          <c:order val="4"/>
          <c:tx>
            <c:v>Hydrocarbures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Norvège!$C$23:$AN$23</c:f>
              <c:numCache>
                <c:formatCode>General</c:formatCode>
                <c:ptCount val="38"/>
                <c:pt idx="0">
                  <c:v>124174153392.90001</c:v>
                </c:pt>
                <c:pt idx="1">
                  <c:v>113777153408.705</c:v>
                </c:pt>
                <c:pt idx="2">
                  <c:v>102906234171.83</c:v>
                </c:pt>
                <c:pt idx="3">
                  <c:v>101094467784.47501</c:v>
                </c:pt>
                <c:pt idx="4">
                  <c:v>110531145610.99399</c:v>
                </c:pt>
                <c:pt idx="5">
                  <c:v>115084678831.578</c:v>
                </c:pt>
                <c:pt idx="6">
                  <c:v>119043221359.459</c:v>
                </c:pt>
                <c:pt idx="7">
                  <c:v>118525623684.15201</c:v>
                </c:pt>
                <c:pt idx="8">
                  <c:v>114367987768.48599</c:v>
                </c:pt>
                <c:pt idx="9">
                  <c:v>111041366396.16</c:v>
                </c:pt>
                <c:pt idx="10">
                  <c:v>117201305292.979</c:v>
                </c:pt>
                <c:pt idx="11">
                  <c:v>111136755438.311</c:v>
                </c:pt>
                <c:pt idx="12">
                  <c:v>111387382723.80701</c:v>
                </c:pt>
                <c:pt idx="13">
                  <c:v>114156574555.07399</c:v>
                </c:pt>
                <c:pt idx="14">
                  <c:v>117405353046.019</c:v>
                </c:pt>
                <c:pt idx="15">
                  <c:v>122088062292.06001</c:v>
                </c:pt>
                <c:pt idx="16">
                  <c:v>129261587535.45001</c:v>
                </c:pt>
                <c:pt idx="17">
                  <c:v>129598748429.76102</c:v>
                </c:pt>
                <c:pt idx="18">
                  <c:v>130584844716.53198</c:v>
                </c:pt>
                <c:pt idx="19">
                  <c:v>130957867829.89999</c:v>
                </c:pt>
                <c:pt idx="20">
                  <c:v>123208027257.14001</c:v>
                </c:pt>
                <c:pt idx="21">
                  <c:v>128626683210.186</c:v>
                </c:pt>
                <c:pt idx="22">
                  <c:v>127141959147.79601</c:v>
                </c:pt>
                <c:pt idx="23">
                  <c:v>134246813459.82101</c:v>
                </c:pt>
                <c:pt idx="24">
                  <c:v>127367765371.08899</c:v>
                </c:pt>
                <c:pt idx="25">
                  <c:v>131000186110.01601</c:v>
                </c:pt>
                <c:pt idx="26">
                  <c:v>136399542165.42799</c:v>
                </c:pt>
                <c:pt idx="27">
                  <c:v>143378733787.14401</c:v>
                </c:pt>
                <c:pt idx="28">
                  <c:v>133581869943.19899</c:v>
                </c:pt>
                <c:pt idx="29">
                  <c:v>133627700093.10802</c:v>
                </c:pt>
                <c:pt idx="30">
                  <c:v>126155671192.591</c:v>
                </c:pt>
                <c:pt idx="31">
                  <c:v>125041190465.134</c:v>
                </c:pt>
                <c:pt idx="32">
                  <c:v>123584146665.623</c:v>
                </c:pt>
                <c:pt idx="33">
                  <c:v>122950114812.72598</c:v>
                </c:pt>
                <c:pt idx="34">
                  <c:v>118330795651.701</c:v>
                </c:pt>
                <c:pt idx="35">
                  <c:v>126855833930.49599</c:v>
                </c:pt>
                <c:pt idx="36">
                  <c:v>129034384828.84201</c:v>
                </c:pt>
                <c:pt idx="37">
                  <c:v>128028945563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552-B840-820F-14E5D0708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9085775"/>
        <c:axId val="1278772479"/>
      </c:scatterChart>
      <c:valAx>
        <c:axId val="12790857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Années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78772479"/>
        <c:crosses val="autoZero"/>
        <c:crossBetween val="midCat"/>
      </c:valAx>
      <c:valAx>
        <c:axId val="1278772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Rejet de CO2 en 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790857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955162</xdr:colOff>
      <xdr:row>35</xdr:row>
      <xdr:rowOff>37280</xdr:rowOff>
    </xdr:from>
    <xdr:to>
      <xdr:col>12</xdr:col>
      <xdr:colOff>850490</xdr:colOff>
      <xdr:row>62</xdr:row>
      <xdr:rowOff>178619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10174C63-F2D6-A54A-AB43-946B4EB86F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889001</xdr:colOff>
      <xdr:row>35</xdr:row>
      <xdr:rowOff>16932</xdr:rowOff>
    </xdr:from>
    <xdr:to>
      <xdr:col>20</xdr:col>
      <xdr:colOff>626534</xdr:colOff>
      <xdr:row>62</xdr:row>
      <xdr:rowOff>203199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7FF372BB-70BB-7347-86FB-878F0EF6D1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745067</xdr:colOff>
      <xdr:row>35</xdr:row>
      <xdr:rowOff>16933</xdr:rowOff>
    </xdr:from>
    <xdr:to>
      <xdr:col>31</xdr:col>
      <xdr:colOff>166261</xdr:colOff>
      <xdr:row>62</xdr:row>
      <xdr:rowOff>158272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26646E5C-47D5-AF48-A2A1-9B5C072271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955162</xdr:colOff>
      <xdr:row>35</xdr:row>
      <xdr:rowOff>37280</xdr:rowOff>
    </xdr:from>
    <xdr:to>
      <xdr:col>12</xdr:col>
      <xdr:colOff>850490</xdr:colOff>
      <xdr:row>62</xdr:row>
      <xdr:rowOff>178619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F9314A15-1B3B-0645-BC36-728D523EC5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889001</xdr:colOff>
      <xdr:row>35</xdr:row>
      <xdr:rowOff>16932</xdr:rowOff>
    </xdr:from>
    <xdr:to>
      <xdr:col>20</xdr:col>
      <xdr:colOff>626534</xdr:colOff>
      <xdr:row>63</xdr:row>
      <xdr:rowOff>-1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ABD3BCB4-6635-A54C-8532-A3F0854D4C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711200</xdr:colOff>
      <xdr:row>35</xdr:row>
      <xdr:rowOff>25400</xdr:rowOff>
    </xdr:from>
    <xdr:to>
      <xdr:col>31</xdr:col>
      <xdr:colOff>90061</xdr:colOff>
      <xdr:row>62</xdr:row>
      <xdr:rowOff>166739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4501AD8-A2B9-8245-958B-BC812466CC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955162</xdr:colOff>
      <xdr:row>35</xdr:row>
      <xdr:rowOff>37280</xdr:rowOff>
    </xdr:from>
    <xdr:to>
      <xdr:col>12</xdr:col>
      <xdr:colOff>850490</xdr:colOff>
      <xdr:row>62</xdr:row>
      <xdr:rowOff>178619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3408F634-CA78-E647-BC41-55F0CAB997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889001</xdr:colOff>
      <xdr:row>35</xdr:row>
      <xdr:rowOff>16932</xdr:rowOff>
    </xdr:from>
    <xdr:to>
      <xdr:col>20</xdr:col>
      <xdr:colOff>626534</xdr:colOff>
      <xdr:row>62</xdr:row>
      <xdr:rowOff>203199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B62D5175-5CC5-3649-8EEE-570B163C89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677333</xdr:colOff>
      <xdr:row>35</xdr:row>
      <xdr:rowOff>16933</xdr:rowOff>
    </xdr:from>
    <xdr:to>
      <xdr:col>31</xdr:col>
      <xdr:colOff>98527</xdr:colOff>
      <xdr:row>62</xdr:row>
      <xdr:rowOff>158272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AC864E7B-DFBE-ED44-9783-F722FCFE37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AN30"/>
  <sheetViews>
    <sheetView tabSelected="1" topLeftCell="E2" zoomScale="50" workbookViewId="0">
      <selection activeCell="C69" sqref="C69"/>
    </sheetView>
  </sheetViews>
  <sheetFormatPr baseColWidth="10" defaultRowHeight="16" x14ac:dyDescent="0.2"/>
  <cols>
    <col min="1" max="1" width="27.33203125" bestFit="1" customWidth="1"/>
    <col min="2" max="2" width="15.6640625" bestFit="1" customWidth="1"/>
    <col min="3" max="4" width="12.5" bestFit="1" customWidth="1"/>
    <col min="5" max="10" width="12.6640625" bestFit="1" customWidth="1"/>
    <col min="11" max="11" width="12.1640625" bestFit="1" customWidth="1"/>
    <col min="12" max="14" width="12.6640625" bestFit="1" customWidth="1"/>
    <col min="15" max="25" width="13.5" bestFit="1" customWidth="1"/>
    <col min="26" max="40" width="13.33203125" bestFit="1" customWidth="1"/>
  </cols>
  <sheetData>
    <row r="5" spans="1:40" x14ac:dyDescent="0.2">
      <c r="C5">
        <v>1980</v>
      </c>
      <c r="D5">
        <v>1981</v>
      </c>
      <c r="E5">
        <v>1982</v>
      </c>
      <c r="F5">
        <v>1983</v>
      </c>
      <c r="G5">
        <v>1984</v>
      </c>
      <c r="H5">
        <v>1985</v>
      </c>
      <c r="I5">
        <v>1986</v>
      </c>
      <c r="J5">
        <v>1987</v>
      </c>
      <c r="K5">
        <v>1988</v>
      </c>
      <c r="L5">
        <v>1989</v>
      </c>
      <c r="M5">
        <v>1990</v>
      </c>
      <c r="N5">
        <v>1991</v>
      </c>
      <c r="O5">
        <v>1992</v>
      </c>
      <c r="P5">
        <v>1993</v>
      </c>
      <c r="Q5">
        <v>1994</v>
      </c>
      <c r="R5">
        <v>1995</v>
      </c>
      <c r="S5">
        <v>1996</v>
      </c>
      <c r="T5">
        <v>1997</v>
      </c>
      <c r="U5">
        <v>1998</v>
      </c>
      <c r="V5">
        <v>1999</v>
      </c>
      <c r="W5">
        <v>2000</v>
      </c>
      <c r="X5">
        <v>2001</v>
      </c>
      <c r="Y5">
        <v>2002</v>
      </c>
      <c r="Z5">
        <v>2003</v>
      </c>
      <c r="AA5">
        <v>2004</v>
      </c>
      <c r="AB5">
        <v>2005</v>
      </c>
      <c r="AC5">
        <v>2006</v>
      </c>
      <c r="AD5">
        <v>2007</v>
      </c>
      <c r="AE5">
        <v>2008</v>
      </c>
      <c r="AF5">
        <v>2009</v>
      </c>
      <c r="AG5">
        <v>2010</v>
      </c>
      <c r="AH5">
        <v>2011</v>
      </c>
      <c r="AI5">
        <v>2012</v>
      </c>
      <c r="AJ5">
        <v>2013</v>
      </c>
      <c r="AK5">
        <v>2014</v>
      </c>
      <c r="AL5">
        <v>2015</v>
      </c>
      <c r="AM5">
        <v>2016</v>
      </c>
      <c r="AN5">
        <v>2017</v>
      </c>
    </row>
    <row r="6" spans="1:40" x14ac:dyDescent="0.2">
      <c r="A6" t="s">
        <v>0</v>
      </c>
      <c r="B6" t="s">
        <v>1</v>
      </c>
    </row>
    <row r="7" spans="1:40" x14ac:dyDescent="0.2">
      <c r="A7" t="s">
        <v>2</v>
      </c>
    </row>
    <row r="8" spans="1:40" x14ac:dyDescent="0.2">
      <c r="A8" t="s">
        <v>3</v>
      </c>
      <c r="B8" t="s">
        <v>1</v>
      </c>
      <c r="C8">
        <v>78.021113111999995</v>
      </c>
      <c r="D8">
        <v>76.057186938000001</v>
      </c>
      <c r="E8">
        <v>73.046188655999998</v>
      </c>
      <c r="F8">
        <v>72.915394278999997</v>
      </c>
      <c r="G8">
        <v>76.570696799999993</v>
      </c>
      <c r="H8">
        <v>76.334134501999998</v>
      </c>
      <c r="I8">
        <v>76.598888067999994</v>
      </c>
      <c r="J8">
        <v>79.008202666000003</v>
      </c>
      <c r="K8">
        <v>82.659169043000006</v>
      </c>
      <c r="L8">
        <v>84.739992958000002</v>
      </c>
      <c r="M8">
        <v>84.432860297999994</v>
      </c>
      <c r="N8">
        <v>84.380300081000001</v>
      </c>
      <c r="O8">
        <v>85.724885061999998</v>
      </c>
      <c r="P8">
        <v>87.265887617999994</v>
      </c>
      <c r="Q8">
        <v>88.983234060000001</v>
      </c>
      <c r="R8">
        <v>90.930704011000003</v>
      </c>
      <c r="S8">
        <v>93.934510891000002</v>
      </c>
      <c r="T8">
        <v>94.506999339999993</v>
      </c>
      <c r="U8">
        <v>94.920189836999995</v>
      </c>
      <c r="V8">
        <v>96.544524441999997</v>
      </c>
      <c r="W8">
        <v>98.702224162999997</v>
      </c>
      <c r="X8">
        <v>96.063733748999994</v>
      </c>
      <c r="Y8">
        <v>97.535390886000002</v>
      </c>
      <c r="Z8">
        <v>97.834773192</v>
      </c>
      <c r="AA8">
        <v>100.002368086</v>
      </c>
      <c r="AB8">
        <v>100.101576158</v>
      </c>
      <c r="AC8">
        <v>99.391540563999996</v>
      </c>
      <c r="AD8">
        <v>100.89336315200001</v>
      </c>
      <c r="AE8">
        <v>98.753711163999995</v>
      </c>
      <c r="AF8">
        <v>93.942215619999999</v>
      </c>
      <c r="AG8">
        <v>97.516858928000005</v>
      </c>
      <c r="AH8">
        <v>96.850230386000007</v>
      </c>
      <c r="AI8">
        <v>94.380123213000005</v>
      </c>
      <c r="AJ8">
        <v>97.117291907999999</v>
      </c>
      <c r="AK8">
        <v>98.275542383000001</v>
      </c>
      <c r="AL8">
        <v>97.377606185999994</v>
      </c>
      <c r="AM8">
        <v>97.333944686999999</v>
      </c>
      <c r="AN8">
        <v>97.707646159000006</v>
      </c>
    </row>
    <row r="9" spans="1:40" x14ac:dyDescent="0.2">
      <c r="B9" t="s">
        <v>4</v>
      </c>
      <c r="C9">
        <f>C8*0.000293071*10^15</f>
        <v>22865725640846.953</v>
      </c>
      <c r="D9">
        <f t="shared" ref="D9:AN9" si="0">D8*0.000293071*10^15</f>
        <v>22290155833106.598</v>
      </c>
      <c r="E9">
        <f t="shared" si="0"/>
        <v>21407719555602.578</v>
      </c>
      <c r="F9">
        <f t="shared" si="0"/>
        <v>21369387516740.805</v>
      </c>
      <c r="G9">
        <f t="shared" si="0"/>
        <v>22440650681872.797</v>
      </c>
      <c r="H9">
        <f t="shared" si="0"/>
        <v>22371321132635.641</v>
      </c>
      <c r="I9">
        <f t="shared" si="0"/>
        <v>22448912724976.828</v>
      </c>
      <c r="J9">
        <f t="shared" si="0"/>
        <v>23155012963527.289</v>
      </c>
      <c r="K9">
        <f t="shared" si="0"/>
        <v>24225005330601.055</v>
      </c>
      <c r="L9">
        <f t="shared" si="0"/>
        <v>24834834476194.02</v>
      </c>
      <c r="M9">
        <f t="shared" si="0"/>
        <v>24744822800395.156</v>
      </c>
      <c r="N9">
        <f t="shared" si="0"/>
        <v>24729418925038.75</v>
      </c>
      <c r="O9">
        <f t="shared" si="0"/>
        <v>25123477790005.402</v>
      </c>
      <c r="P9">
        <f t="shared" si="0"/>
        <v>25575100950094.879</v>
      </c>
      <c r="Q9">
        <f t="shared" si="0"/>
        <v>26078405389198.258</v>
      </c>
      <c r="R9">
        <f t="shared" si="0"/>
        <v>26649152355207.781</v>
      </c>
      <c r="S9">
        <f t="shared" si="0"/>
        <v>27529481041336.262</v>
      </c>
      <c r="T9">
        <f t="shared" si="0"/>
        <v>27697260803573.137</v>
      </c>
      <c r="U9">
        <f t="shared" si="0"/>
        <v>27818354955719.426</v>
      </c>
      <c r="V9">
        <f t="shared" si="0"/>
        <v>28294400322741.379</v>
      </c>
      <c r="W9">
        <f t="shared" si="0"/>
        <v>28926759537674.57</v>
      </c>
      <c r="X9">
        <f t="shared" si="0"/>
        <v>28153494513553.176</v>
      </c>
      <c r="Y9">
        <f t="shared" si="0"/>
        <v>28584794542350.906</v>
      </c>
      <c r="Z9">
        <f t="shared" si="0"/>
        <v>28672534814152.633</v>
      </c>
      <c r="AA9">
        <f t="shared" si="0"/>
        <v>29307794017332.105</v>
      </c>
      <c r="AB9">
        <f t="shared" si="0"/>
        <v>29336869026201.219</v>
      </c>
      <c r="AC9">
        <f t="shared" si="0"/>
        <v>29128778184632.043</v>
      </c>
      <c r="AD9">
        <f t="shared" si="0"/>
        <v>29568918832319.793</v>
      </c>
      <c r="AE9">
        <f t="shared" si="0"/>
        <v>28941848884544.641</v>
      </c>
      <c r="AF9">
        <f t="shared" si="0"/>
        <v>27531739073969.02</v>
      </c>
      <c r="AG9">
        <f t="shared" si="0"/>
        <v>28579363362887.891</v>
      </c>
      <c r="AH9">
        <f t="shared" si="0"/>
        <v>28383993869455.406</v>
      </c>
      <c r="AI9">
        <f t="shared" si="0"/>
        <v>27660077090157.121</v>
      </c>
      <c r="AJ9">
        <f t="shared" si="0"/>
        <v>28462261856769.469</v>
      </c>
      <c r="AK9">
        <f t="shared" si="0"/>
        <v>28801711481728.191</v>
      </c>
      <c r="AL9">
        <f t="shared" si="0"/>
        <v>28538552422537.203</v>
      </c>
      <c r="AM9">
        <f t="shared" si="0"/>
        <v>28525756503363.777</v>
      </c>
      <c r="AN9">
        <f t="shared" si="0"/>
        <v>28635277567464.293</v>
      </c>
    </row>
    <row r="10" spans="1:40" x14ac:dyDescent="0.2">
      <c r="B10" t="s">
        <v>5</v>
      </c>
      <c r="C10">
        <f>C14+C19+C24+C29</f>
        <v>1.5364503707979732E+16</v>
      </c>
      <c r="D10">
        <f t="shared" ref="D10:AN10" si="1">D14+D19+D24+D29</f>
        <v>1.486711490403082E+16</v>
      </c>
      <c r="E10">
        <f t="shared" si="1"/>
        <v>1.4117348989469492E+16</v>
      </c>
      <c r="F10">
        <f t="shared" si="1"/>
        <v>1.4108231637927244E+16</v>
      </c>
      <c r="G10">
        <f t="shared" si="1"/>
        <v>1.4827321968995204E+16</v>
      </c>
      <c r="H10">
        <f t="shared" si="1"/>
        <v>1.4833182258013702E+16</v>
      </c>
      <c r="I10">
        <f t="shared" si="1"/>
        <v>1.4976496938156196E+16</v>
      </c>
      <c r="J10">
        <f t="shared" si="1"/>
        <v>1.5476690084623002E+16</v>
      </c>
      <c r="K10">
        <f t="shared" si="1"/>
        <v>1.615200810844025E+16</v>
      </c>
      <c r="L10">
        <f t="shared" si="1"/>
        <v>1.6348206387725414E+16</v>
      </c>
      <c r="M10">
        <f t="shared" si="1"/>
        <v>1.6207200090083104E+16</v>
      </c>
      <c r="N10">
        <f t="shared" si="1"/>
        <v>1.6029599750443664E+16</v>
      </c>
      <c r="O10">
        <f t="shared" si="1"/>
        <v>1.6318486446661304E+16</v>
      </c>
      <c r="P10">
        <f t="shared" si="1"/>
        <v>1.6611031093422466E+16</v>
      </c>
      <c r="Q10">
        <f t="shared" si="1"/>
        <v>1.6914072804841262E+16</v>
      </c>
      <c r="R10">
        <f t="shared" si="1"/>
        <v>1.705061450018672E+16</v>
      </c>
      <c r="S10">
        <f t="shared" si="1"/>
        <v>1.7664534506115688E+16</v>
      </c>
      <c r="T10">
        <f t="shared" si="1"/>
        <v>1.7927944651893044E+16</v>
      </c>
      <c r="U10">
        <f t="shared" si="1"/>
        <v>1.8111008698708404E+16</v>
      </c>
      <c r="V10">
        <f t="shared" si="1"/>
        <v>1.8373396137174732E+16</v>
      </c>
      <c r="W10">
        <f t="shared" si="1"/>
        <v>1.8855007969814004E+16</v>
      </c>
      <c r="X10">
        <f t="shared" si="1"/>
        <v>1.8529466527515792E+16</v>
      </c>
      <c r="Y10">
        <f t="shared" si="1"/>
        <v>1.8630893405575216E+16</v>
      </c>
      <c r="Z10">
        <f t="shared" si="1"/>
        <v>1.8835306399867072E+16</v>
      </c>
      <c r="AA10">
        <f t="shared" si="1"/>
        <v>1.9270189511774228E+16</v>
      </c>
      <c r="AB10">
        <f t="shared" si="1"/>
        <v>1.9354021378172328E+16</v>
      </c>
      <c r="AC10">
        <f t="shared" si="1"/>
        <v>1.9133611733284E+16</v>
      </c>
      <c r="AD10">
        <f t="shared" si="1"/>
        <v>1.9321462200220656E+16</v>
      </c>
      <c r="AE10">
        <f t="shared" si="1"/>
        <v>1.864008573685636E+16</v>
      </c>
      <c r="AF10">
        <f t="shared" si="1"/>
        <v>1.7364104619622218E+16</v>
      </c>
      <c r="AG10">
        <f t="shared" si="1"/>
        <v>1.799433911750858E+16</v>
      </c>
      <c r="AH10">
        <f t="shared" si="1"/>
        <v>1.7557896828120482E+16</v>
      </c>
      <c r="AI10">
        <f t="shared" si="1"/>
        <v>1.6848947460721472E+16</v>
      </c>
      <c r="AJ10">
        <f t="shared" si="1"/>
        <v>1.7285898443065792E+16</v>
      </c>
      <c r="AK10">
        <f t="shared" si="1"/>
        <v>1.7413005223723314E+16</v>
      </c>
      <c r="AL10">
        <f t="shared" si="1"/>
        <v>1.7018680527530898E+16</v>
      </c>
      <c r="AM10">
        <f t="shared" si="1"/>
        <v>1.6791324059185906E+16</v>
      </c>
      <c r="AN10">
        <f t="shared" si="1"/>
        <v>1.6735736450308918E+16</v>
      </c>
    </row>
    <row r="12" spans="1:40" x14ac:dyDescent="0.2">
      <c r="A12" t="s">
        <v>11</v>
      </c>
      <c r="B12" t="s">
        <v>1</v>
      </c>
      <c r="C12">
        <v>15.422809493999999</v>
      </c>
      <c r="D12">
        <v>15.907526424</v>
      </c>
      <c r="E12">
        <v>15.321581298</v>
      </c>
      <c r="F12">
        <v>15.894441802999999</v>
      </c>
      <c r="G12">
        <v>17.070621984999999</v>
      </c>
      <c r="H12">
        <v>17.478427648</v>
      </c>
      <c r="I12">
        <v>17.260405035000002</v>
      </c>
      <c r="J12">
        <v>18.008450717999999</v>
      </c>
      <c r="K12">
        <v>18.846312437999998</v>
      </c>
      <c r="L12">
        <v>19.069762484999998</v>
      </c>
      <c r="M12">
        <v>19.172634947999999</v>
      </c>
      <c r="N12">
        <v>18.991670120999999</v>
      </c>
      <c r="O12">
        <v>19.122471284</v>
      </c>
      <c r="P12">
        <v>19.835147797000001</v>
      </c>
      <c r="Q12">
        <v>19.909462621999999</v>
      </c>
      <c r="R12">
        <v>20.088726842</v>
      </c>
      <c r="S12">
        <v>21.001914490000001</v>
      </c>
      <c r="T12">
        <v>21.445410997</v>
      </c>
      <c r="U12">
        <v>21.655743900000001</v>
      </c>
      <c r="V12">
        <v>21.622543710999999</v>
      </c>
      <c r="W12">
        <v>22.579528056000001</v>
      </c>
      <c r="X12">
        <v>21.914268290999999</v>
      </c>
      <c r="Y12">
        <v>21.903989304</v>
      </c>
      <c r="Z12">
        <v>22.320927964999999</v>
      </c>
      <c r="AA12">
        <v>22.466194564999999</v>
      </c>
      <c r="AB12">
        <v>22.796542703</v>
      </c>
      <c r="AC12">
        <v>22.447160049000001</v>
      </c>
      <c r="AD12">
        <v>22.749466285</v>
      </c>
      <c r="AE12">
        <v>22.387437362</v>
      </c>
      <c r="AF12">
        <v>19.691205439000001</v>
      </c>
      <c r="AG12">
        <v>20.833967556000001</v>
      </c>
      <c r="AH12">
        <v>19.657784072999998</v>
      </c>
      <c r="AI12">
        <v>17.378234003999999</v>
      </c>
      <c r="AJ12">
        <v>18.038633142999998</v>
      </c>
      <c r="AK12">
        <v>17.997632024000001</v>
      </c>
      <c r="AL12">
        <v>15.548870189000001</v>
      </c>
      <c r="AM12">
        <v>14.225904563</v>
      </c>
      <c r="AN12">
        <v>13.837465264</v>
      </c>
    </row>
    <row r="13" spans="1:40" x14ac:dyDescent="0.2">
      <c r="B13" t="s">
        <v>4</v>
      </c>
      <c r="C13">
        <f>C12*0.000293071*10^15</f>
        <v>4519978201216.0732</v>
      </c>
      <c r="D13">
        <f t="shared" ref="D13:AN13" si="2">D12*0.000293071*10^15</f>
        <v>4662034676608.1045</v>
      </c>
      <c r="E13">
        <f t="shared" si="2"/>
        <v>4490311152586.1572</v>
      </c>
      <c r="F13">
        <f t="shared" si="2"/>
        <v>4658199953647.0127</v>
      </c>
      <c r="G13">
        <f t="shared" si="2"/>
        <v>5002904255765.9346</v>
      </c>
      <c r="H13">
        <f t="shared" si="2"/>
        <v>5122420269227.0078</v>
      </c>
      <c r="I13">
        <f t="shared" si="2"/>
        <v>5058524164012.4854</v>
      </c>
      <c r="J13">
        <f t="shared" si="2"/>
        <v>5277754660374.9775</v>
      </c>
      <c r="K13">
        <f t="shared" si="2"/>
        <v>5523307632517.0977</v>
      </c>
      <c r="L13">
        <f t="shared" si="2"/>
        <v>5588794361241.4346</v>
      </c>
      <c r="M13">
        <f t="shared" si="2"/>
        <v>5618943296845.3076</v>
      </c>
      <c r="N13">
        <f t="shared" si="2"/>
        <v>5565907754031.5908</v>
      </c>
      <c r="O13">
        <f t="shared" si="2"/>
        <v>5604241781673.1641</v>
      </c>
      <c r="P13">
        <f t="shared" si="2"/>
        <v>5813106600014.5879</v>
      </c>
      <c r="Q13">
        <f t="shared" si="2"/>
        <v>5834886120092.1621</v>
      </c>
      <c r="R13">
        <f t="shared" si="2"/>
        <v>5887423264311.7822</v>
      </c>
      <c r="S13">
        <f t="shared" si="2"/>
        <v>6155052081498.791</v>
      </c>
      <c r="T13">
        <f t="shared" si="2"/>
        <v>6285028046301.7871</v>
      </c>
      <c r="U13">
        <f t="shared" si="2"/>
        <v>6346670520516.9004</v>
      </c>
      <c r="V13">
        <f t="shared" si="2"/>
        <v>6336940507926.4805</v>
      </c>
      <c r="W13">
        <f t="shared" si="2"/>
        <v>6617404866899.9766</v>
      </c>
      <c r="X13">
        <f t="shared" si="2"/>
        <v>6422436522311.6611</v>
      </c>
      <c r="Y13">
        <f t="shared" si="2"/>
        <v>6419424049312.583</v>
      </c>
      <c r="Z13">
        <f t="shared" si="2"/>
        <v>6541616679630.5156</v>
      </c>
      <c r="AA13">
        <f t="shared" si="2"/>
        <v>6584190107359.1152</v>
      </c>
      <c r="AB13">
        <f t="shared" si="2"/>
        <v>6681005566510.9131</v>
      </c>
      <c r="AC13">
        <f t="shared" si="2"/>
        <v>6578611642720.4795</v>
      </c>
      <c r="AD13">
        <f t="shared" si="2"/>
        <v>6667208833611.2344</v>
      </c>
      <c r="AE13">
        <f t="shared" si="2"/>
        <v>6561108655118.7021</v>
      </c>
      <c r="AF13">
        <f t="shared" si="2"/>
        <v>5770921269213.1689</v>
      </c>
      <c r="AG13">
        <f t="shared" si="2"/>
        <v>6105831705604.4766</v>
      </c>
      <c r="AH13">
        <f t="shared" si="2"/>
        <v>5761126436058.1826</v>
      </c>
      <c r="AI13">
        <f t="shared" si="2"/>
        <v>5093056417786.2842</v>
      </c>
      <c r="AJ13">
        <f t="shared" si="2"/>
        <v>5286600253852.1523</v>
      </c>
      <c r="AK13">
        <f t="shared" si="2"/>
        <v>5274584014905.7051</v>
      </c>
      <c r="AL13">
        <f t="shared" si="2"/>
        <v>4556922935160.4189</v>
      </c>
      <c r="AM13">
        <f t="shared" si="2"/>
        <v>4169200076182.9727</v>
      </c>
      <c r="AN13">
        <f t="shared" si="2"/>
        <v>4055359782385.7446</v>
      </c>
    </row>
    <row r="14" spans="1:40" x14ac:dyDescent="0.2">
      <c r="A14" t="s">
        <v>9</v>
      </c>
      <c r="B14" t="s">
        <v>5</v>
      </c>
      <c r="C14">
        <f>C13*950</f>
        <v>4293979291155269.5</v>
      </c>
      <c r="D14">
        <f t="shared" ref="D14:AN14" si="3">D13*950</f>
        <v>4428932942777699.5</v>
      </c>
      <c r="E14">
        <f t="shared" si="3"/>
        <v>4265795594956849.5</v>
      </c>
      <c r="F14">
        <f t="shared" si="3"/>
        <v>4425289955964662</v>
      </c>
      <c r="G14">
        <f t="shared" si="3"/>
        <v>4752759042977638</v>
      </c>
      <c r="H14">
        <f t="shared" si="3"/>
        <v>4866299255765657</v>
      </c>
      <c r="I14">
        <f t="shared" si="3"/>
        <v>4805597955811861</v>
      </c>
      <c r="J14">
        <f t="shared" si="3"/>
        <v>5013866927356229</v>
      </c>
      <c r="K14">
        <f t="shared" si="3"/>
        <v>5247142250891243</v>
      </c>
      <c r="L14">
        <f t="shared" si="3"/>
        <v>5309354643179363</v>
      </c>
      <c r="M14">
        <f t="shared" si="3"/>
        <v>5337996132003042</v>
      </c>
      <c r="N14">
        <f t="shared" si="3"/>
        <v>5287612366330011</v>
      </c>
      <c r="O14">
        <f t="shared" si="3"/>
        <v>5324029692589506</v>
      </c>
      <c r="P14">
        <f t="shared" si="3"/>
        <v>5522451270013858</v>
      </c>
      <c r="Q14">
        <f t="shared" si="3"/>
        <v>5543141814087554</v>
      </c>
      <c r="R14">
        <f t="shared" si="3"/>
        <v>5593052101096193</v>
      </c>
      <c r="S14">
        <f t="shared" si="3"/>
        <v>5847299477423851</v>
      </c>
      <c r="T14">
        <f t="shared" si="3"/>
        <v>5970776643986698</v>
      </c>
      <c r="U14">
        <f t="shared" si="3"/>
        <v>6029336994491055</v>
      </c>
      <c r="V14">
        <f t="shared" si="3"/>
        <v>6020093482530156</v>
      </c>
      <c r="W14">
        <f t="shared" si="3"/>
        <v>6286534623554978</v>
      </c>
      <c r="X14">
        <f t="shared" si="3"/>
        <v>6101314696196078</v>
      </c>
      <c r="Y14">
        <f t="shared" si="3"/>
        <v>6098452846846954</v>
      </c>
      <c r="Z14">
        <f t="shared" si="3"/>
        <v>6214535845648990</v>
      </c>
      <c r="AA14">
        <f t="shared" si="3"/>
        <v>6254980601991159</v>
      </c>
      <c r="AB14">
        <f t="shared" si="3"/>
        <v>6346955288185367</v>
      </c>
      <c r="AC14">
        <f t="shared" si="3"/>
        <v>6249681060584456</v>
      </c>
      <c r="AD14">
        <f t="shared" si="3"/>
        <v>6333848391930673</v>
      </c>
      <c r="AE14">
        <f t="shared" si="3"/>
        <v>6233053222362767</v>
      </c>
      <c r="AF14">
        <f t="shared" si="3"/>
        <v>5482375205752510</v>
      </c>
      <c r="AG14">
        <f t="shared" si="3"/>
        <v>5800540120324253</v>
      </c>
      <c r="AH14">
        <f t="shared" si="3"/>
        <v>5473070114255273</v>
      </c>
      <c r="AI14">
        <f t="shared" si="3"/>
        <v>4838403596896970</v>
      </c>
      <c r="AJ14">
        <f t="shared" si="3"/>
        <v>5022270241159545</v>
      </c>
      <c r="AK14">
        <f t="shared" si="3"/>
        <v>5010854814160420</v>
      </c>
      <c r="AL14">
        <f t="shared" si="3"/>
        <v>4329076788402398</v>
      </c>
      <c r="AM14">
        <f t="shared" si="3"/>
        <v>3960740072373824</v>
      </c>
      <c r="AN14">
        <f t="shared" si="3"/>
        <v>3852591793266457.5</v>
      </c>
    </row>
    <row r="15" spans="1:40" x14ac:dyDescent="0.2">
      <c r="B15" t="s">
        <v>10</v>
      </c>
      <c r="C15">
        <f>C14/C10*100</f>
        <v>27.947399882009478</v>
      </c>
      <c r="D15">
        <f t="shared" ref="D15:AN15" si="4">D14/D10*100</f>
        <v>29.790130575885392</v>
      </c>
      <c r="E15">
        <f t="shared" si="4"/>
        <v>30.216690103353116</v>
      </c>
      <c r="F15">
        <f t="shared" si="4"/>
        <v>31.366723126859704</v>
      </c>
      <c r="G15">
        <f t="shared" si="4"/>
        <v>32.054062445773653</v>
      </c>
      <c r="H15">
        <f t="shared" si="4"/>
        <v>32.806845969526286</v>
      </c>
      <c r="I15">
        <f t="shared" si="4"/>
        <v>32.087596823583318</v>
      </c>
      <c r="J15">
        <f t="shared" si="4"/>
        <v>32.396248163796983</v>
      </c>
      <c r="K15">
        <f t="shared" si="4"/>
        <v>32.486005552147681</v>
      </c>
      <c r="L15">
        <f t="shared" si="4"/>
        <v>32.476679809754181</v>
      </c>
      <c r="M15">
        <f t="shared" si="4"/>
        <v>32.935955022047679</v>
      </c>
      <c r="N15">
        <f t="shared" si="4"/>
        <v>32.986552681601808</v>
      </c>
      <c r="O15">
        <f t="shared" si="4"/>
        <v>32.625756745220578</v>
      </c>
      <c r="P15">
        <f t="shared" si="4"/>
        <v>33.245686188623196</v>
      </c>
      <c r="Q15">
        <f t="shared" si="4"/>
        <v>32.772365816593613</v>
      </c>
      <c r="R15">
        <f t="shared" si="4"/>
        <v>32.80264239763877</v>
      </c>
      <c r="S15">
        <f t="shared" si="4"/>
        <v>33.10191658545795</v>
      </c>
      <c r="T15">
        <f t="shared" si="4"/>
        <v>33.304300966570828</v>
      </c>
      <c r="U15">
        <f t="shared" si="4"/>
        <v>33.291006010731145</v>
      </c>
      <c r="V15">
        <f t="shared" si="4"/>
        <v>32.765273428953904</v>
      </c>
      <c r="W15">
        <f t="shared" si="4"/>
        <v>33.341458320354093</v>
      </c>
      <c r="X15">
        <f t="shared" si="4"/>
        <v>32.927632790376229</v>
      </c>
      <c r="Y15">
        <f t="shared" si="4"/>
        <v>32.733013463659333</v>
      </c>
      <c r="Z15">
        <f t="shared" si="4"/>
        <v>32.994078852324108</v>
      </c>
      <c r="AA15">
        <f t="shared" si="4"/>
        <v>32.459362157125234</v>
      </c>
      <c r="AB15">
        <f t="shared" si="4"/>
        <v>32.793987172833916</v>
      </c>
      <c r="AC15">
        <f t="shared" si="4"/>
        <v>32.66336302681831</v>
      </c>
      <c r="AD15">
        <f t="shared" si="4"/>
        <v>32.781413364555497</v>
      </c>
      <c r="AE15">
        <f t="shared" si="4"/>
        <v>33.438972922953774</v>
      </c>
      <c r="AF15">
        <f t="shared" si="4"/>
        <v>31.573037169778278</v>
      </c>
      <c r="AG15">
        <f t="shared" si="4"/>
        <v>32.235360701190181</v>
      </c>
      <c r="AH15">
        <f t="shared" si="4"/>
        <v>31.171558688565028</v>
      </c>
      <c r="AI15">
        <f t="shared" si="4"/>
        <v>28.716355179908604</v>
      </c>
      <c r="AJ15">
        <f t="shared" si="4"/>
        <v>29.054146405529877</v>
      </c>
      <c r="AK15">
        <f t="shared" si="4"/>
        <v>28.776507844456845</v>
      </c>
      <c r="AL15">
        <f t="shared" si="4"/>
        <v>25.43720578924616</v>
      </c>
      <c r="AM15">
        <f t="shared" si="4"/>
        <v>23.588015206025702</v>
      </c>
      <c r="AN15">
        <f t="shared" si="4"/>
        <v>23.020150948871713</v>
      </c>
    </row>
    <row r="17" spans="1:40" x14ac:dyDescent="0.2">
      <c r="A17" t="s">
        <v>12</v>
      </c>
      <c r="B17" t="s">
        <v>1</v>
      </c>
      <c r="C17">
        <v>20.235459103</v>
      </c>
      <c r="D17">
        <v>19.747309671</v>
      </c>
      <c r="E17">
        <v>18.356222148000001</v>
      </c>
      <c r="F17">
        <v>17.220836066</v>
      </c>
      <c r="G17">
        <v>18.393612515000001</v>
      </c>
      <c r="H17">
        <v>17.703482184999999</v>
      </c>
      <c r="I17">
        <v>16.591364143</v>
      </c>
      <c r="J17">
        <v>17.639800878999999</v>
      </c>
      <c r="K17">
        <v>18.448392651999999</v>
      </c>
      <c r="L17">
        <v>19.601605666000001</v>
      </c>
      <c r="M17">
        <v>19.603266853000001</v>
      </c>
      <c r="N17">
        <v>20.032957500999999</v>
      </c>
      <c r="O17">
        <v>20.713632015000002</v>
      </c>
      <c r="P17">
        <v>21.228999702999999</v>
      </c>
      <c r="Q17">
        <v>21.728066827999999</v>
      </c>
      <c r="R17">
        <v>22.671138742</v>
      </c>
      <c r="S17">
        <v>23.084647038</v>
      </c>
      <c r="T17">
        <v>23.222716326</v>
      </c>
      <c r="U17">
        <v>22.830226191000001</v>
      </c>
      <c r="V17">
        <v>22.909227437999999</v>
      </c>
      <c r="W17">
        <v>23.823976775999999</v>
      </c>
      <c r="X17">
        <v>22.772557772999999</v>
      </c>
      <c r="Y17">
        <v>23.510080922</v>
      </c>
      <c r="Z17">
        <v>22.830642206</v>
      </c>
      <c r="AA17">
        <v>22.923061370999999</v>
      </c>
      <c r="AB17">
        <v>22.565363999999999</v>
      </c>
      <c r="AC17">
        <v>22.238737723</v>
      </c>
      <c r="AD17">
        <v>23.662759008999998</v>
      </c>
      <c r="AE17">
        <v>23.842953331</v>
      </c>
      <c r="AF17">
        <v>23.415939986000001</v>
      </c>
      <c r="AG17">
        <v>24.574753991000001</v>
      </c>
      <c r="AH17">
        <v>24.954538535000001</v>
      </c>
      <c r="AI17">
        <v>26.088581606999998</v>
      </c>
      <c r="AJ17">
        <v>26.805134424999999</v>
      </c>
      <c r="AK17">
        <v>27.382832544999999</v>
      </c>
      <c r="AL17">
        <v>28.191094829000001</v>
      </c>
      <c r="AM17">
        <v>28.400351852</v>
      </c>
      <c r="AN17">
        <v>28.055081875999999</v>
      </c>
    </row>
    <row r="18" spans="1:40" x14ac:dyDescent="0.2">
      <c r="B18" t="s">
        <v>4</v>
      </c>
      <c r="C18">
        <f>C17*0.000293071*10^15</f>
        <v>5930426234775.3125</v>
      </c>
      <c r="D18">
        <f t="shared" ref="D18:AN18" si="5">D17*0.000293071*10^15</f>
        <v>5787363792589.6406</v>
      </c>
      <c r="E18">
        <f t="shared" si="5"/>
        <v>5379676381136.5088</v>
      </c>
      <c r="F18">
        <f t="shared" si="5"/>
        <v>5046927646698.6865</v>
      </c>
      <c r="G18">
        <f t="shared" si="5"/>
        <v>5390634413383.5654</v>
      </c>
      <c r="H18">
        <f t="shared" si="5"/>
        <v>5188377227440.1348</v>
      </c>
      <c r="I18">
        <f t="shared" si="5"/>
        <v>4862447680753.1533</v>
      </c>
      <c r="J18">
        <f t="shared" si="5"/>
        <v>5169714083409.4082</v>
      </c>
      <c r="K18">
        <f t="shared" si="5"/>
        <v>5406688882914.292</v>
      </c>
      <c r="L18">
        <f t="shared" si="5"/>
        <v>5744662174140.2861</v>
      </c>
      <c r="M18">
        <f t="shared" si="5"/>
        <v>5745149019875.5635</v>
      </c>
      <c r="N18">
        <f t="shared" si="5"/>
        <v>5871078887775.5703</v>
      </c>
      <c r="O18">
        <f t="shared" si="5"/>
        <v>6070564848268.0654</v>
      </c>
      <c r="P18">
        <f t="shared" si="5"/>
        <v>6221604171957.9131</v>
      </c>
      <c r="Q18">
        <f t="shared" si="5"/>
        <v>6367866273348.7881</v>
      </c>
      <c r="R18">
        <f t="shared" si="5"/>
        <v>6644253302256.6816</v>
      </c>
      <c r="S18">
        <f t="shared" si="5"/>
        <v>6765440592073.6982</v>
      </c>
      <c r="T18">
        <f t="shared" si="5"/>
        <v>6805904696377.1455</v>
      </c>
      <c r="U18">
        <f t="shared" si="5"/>
        <v>6690877220022.5615</v>
      </c>
      <c r="V18">
        <f t="shared" si="5"/>
        <v>6714030194482.0977</v>
      </c>
      <c r="W18">
        <f t="shared" si="5"/>
        <v>6982116697719.0947</v>
      </c>
      <c r="X18">
        <f t="shared" si="5"/>
        <v>6673976279090.8828</v>
      </c>
      <c r="Y18">
        <f t="shared" si="5"/>
        <v>6890122925891.4619</v>
      </c>
      <c r="Z18">
        <f t="shared" si="5"/>
        <v>6690999141954.626</v>
      </c>
      <c r="AA18">
        <f t="shared" si="5"/>
        <v>6718084519060.3408</v>
      </c>
      <c r="AB18">
        <f t="shared" si="5"/>
        <v>6613253792844</v>
      </c>
      <c r="AC18">
        <f t="shared" si="5"/>
        <v>6517529103217.333</v>
      </c>
      <c r="AD18">
        <f t="shared" si="5"/>
        <v>6934868445526.6387</v>
      </c>
      <c r="AE18">
        <f t="shared" si="5"/>
        <v>6987678175669.501</v>
      </c>
      <c r="AF18">
        <f t="shared" si="5"/>
        <v>6862532947637.0068</v>
      </c>
      <c r="AG18">
        <f t="shared" si="5"/>
        <v>7202147726896.3613</v>
      </c>
      <c r="AH18">
        <f t="shared" si="5"/>
        <v>7313451562990.9854</v>
      </c>
      <c r="AI18">
        <f t="shared" si="5"/>
        <v>7645806700145.0967</v>
      </c>
      <c r="AJ18">
        <f t="shared" si="5"/>
        <v>7855807551069.1738</v>
      </c>
      <c r="AK18">
        <f t="shared" si="5"/>
        <v>8025114116795.6943</v>
      </c>
      <c r="AL18">
        <f t="shared" si="5"/>
        <v>8261992352629.8584</v>
      </c>
      <c r="AM18">
        <f t="shared" si="5"/>
        <v>8323319517617.4912</v>
      </c>
      <c r="AN18">
        <f t="shared" si="5"/>
        <v>8222130900481.1963</v>
      </c>
    </row>
    <row r="19" spans="1:40" x14ac:dyDescent="0.2">
      <c r="A19" t="s">
        <v>8</v>
      </c>
      <c r="B19" t="s">
        <v>5</v>
      </c>
      <c r="C19">
        <f>C18*390</f>
        <v>2312866231562372</v>
      </c>
      <c r="D19">
        <f t="shared" ref="D19:AN19" si="6">D18*390</f>
        <v>2257071879109960</v>
      </c>
      <c r="E19">
        <f t="shared" si="6"/>
        <v>2098073788643238.5</v>
      </c>
      <c r="F19">
        <f t="shared" si="6"/>
        <v>1968301782212487.8</v>
      </c>
      <c r="G19">
        <f t="shared" si="6"/>
        <v>2102347421219590.5</v>
      </c>
      <c r="H19">
        <f t="shared" si="6"/>
        <v>2023467118701652.5</v>
      </c>
      <c r="I19">
        <f t="shared" si="6"/>
        <v>1896354595493729.8</v>
      </c>
      <c r="J19">
        <f t="shared" si="6"/>
        <v>2016188492529669.2</v>
      </c>
      <c r="K19">
        <f t="shared" si="6"/>
        <v>2108608664336574</v>
      </c>
      <c r="L19">
        <f t="shared" si="6"/>
        <v>2240418247914711.5</v>
      </c>
      <c r="M19">
        <f t="shared" si="6"/>
        <v>2240608117751469.8</v>
      </c>
      <c r="N19">
        <f t="shared" si="6"/>
        <v>2289720766232472.5</v>
      </c>
      <c r="O19">
        <f t="shared" si="6"/>
        <v>2367520290824545.5</v>
      </c>
      <c r="P19">
        <f t="shared" si="6"/>
        <v>2426425627063586</v>
      </c>
      <c r="Q19">
        <f t="shared" si="6"/>
        <v>2483467846606027.5</v>
      </c>
      <c r="R19">
        <f t="shared" si="6"/>
        <v>2591258787880106</v>
      </c>
      <c r="S19">
        <f t="shared" si="6"/>
        <v>2638521830908742.5</v>
      </c>
      <c r="T19">
        <f t="shared" si="6"/>
        <v>2654302831587086.5</v>
      </c>
      <c r="U19">
        <f t="shared" si="6"/>
        <v>2609442115808799</v>
      </c>
      <c r="V19">
        <f t="shared" si="6"/>
        <v>2618471775848018</v>
      </c>
      <c r="W19">
        <f t="shared" si="6"/>
        <v>2723025512110447</v>
      </c>
      <c r="X19">
        <f t="shared" si="6"/>
        <v>2602850748845444.5</v>
      </c>
      <c r="Y19">
        <f t="shared" si="6"/>
        <v>2687147941097670</v>
      </c>
      <c r="Z19">
        <f t="shared" si="6"/>
        <v>2609489665362304</v>
      </c>
      <c r="AA19">
        <f t="shared" si="6"/>
        <v>2620052962433533</v>
      </c>
      <c r="AB19">
        <f t="shared" si="6"/>
        <v>2579168979209160</v>
      </c>
      <c r="AC19">
        <f t="shared" si="6"/>
        <v>2541836350254760</v>
      </c>
      <c r="AD19">
        <f t="shared" si="6"/>
        <v>2704598693755389</v>
      </c>
      <c r="AE19">
        <f t="shared" si="6"/>
        <v>2725194488511105.5</v>
      </c>
      <c r="AF19">
        <f t="shared" si="6"/>
        <v>2676387849578432.5</v>
      </c>
      <c r="AG19">
        <f t="shared" si="6"/>
        <v>2808837613489581</v>
      </c>
      <c r="AH19">
        <f t="shared" si="6"/>
        <v>2852246109566484.5</v>
      </c>
      <c r="AI19">
        <f t="shared" si="6"/>
        <v>2981864613056587.5</v>
      </c>
      <c r="AJ19">
        <f t="shared" si="6"/>
        <v>3063764944916978</v>
      </c>
      <c r="AK19">
        <f t="shared" si="6"/>
        <v>3129794505550321</v>
      </c>
      <c r="AL19">
        <f t="shared" si="6"/>
        <v>3222177017525645</v>
      </c>
      <c r="AM19">
        <f t="shared" si="6"/>
        <v>3246094611870821.5</v>
      </c>
      <c r="AN19">
        <f t="shared" si="6"/>
        <v>3206631051187666.5</v>
      </c>
    </row>
    <row r="20" spans="1:40" x14ac:dyDescent="0.2">
      <c r="B20" t="s">
        <v>10</v>
      </c>
      <c r="C20">
        <f>C19/C10*100</f>
        <v>15.053309078647025</v>
      </c>
      <c r="D20">
        <f t="shared" ref="D20:AN20" si="7">D19/D10*100</f>
        <v>15.181640107577399</v>
      </c>
      <c r="E20">
        <f t="shared" si="7"/>
        <v>14.861669780978341</v>
      </c>
      <c r="F20">
        <f t="shared" si="7"/>
        <v>13.951442198617508</v>
      </c>
      <c r="G20">
        <f t="shared" si="7"/>
        <v>14.178874820522019</v>
      </c>
      <c r="H20">
        <f t="shared" si="7"/>
        <v>13.641490298607126</v>
      </c>
      <c r="I20">
        <f t="shared" si="7"/>
        <v>12.662204007549418</v>
      </c>
      <c r="J20">
        <f t="shared" si="7"/>
        <v>13.027258939124655</v>
      </c>
      <c r="K20">
        <f t="shared" si="7"/>
        <v>13.054777153279895</v>
      </c>
      <c r="L20">
        <f t="shared" si="7"/>
        <v>13.704367285189559</v>
      </c>
      <c r="M20">
        <f t="shared" si="7"/>
        <v>13.824769888060171</v>
      </c>
      <c r="N20">
        <f t="shared" si="7"/>
        <v>14.284329003093779</v>
      </c>
      <c r="O20">
        <f t="shared" si="7"/>
        <v>14.508210050993611</v>
      </c>
      <c r="P20">
        <f t="shared" si="7"/>
        <v>14.60731494280561</v>
      </c>
      <c r="Q20">
        <f t="shared" si="7"/>
        <v>14.682849454775862</v>
      </c>
      <c r="R20">
        <f t="shared" si="7"/>
        <v>15.197451023549499</v>
      </c>
      <c r="S20">
        <f t="shared" si="7"/>
        <v>14.936831932906314</v>
      </c>
      <c r="T20">
        <f t="shared" si="7"/>
        <v>14.805393942951591</v>
      </c>
      <c r="U20">
        <f t="shared" si="7"/>
        <v>14.408044075396489</v>
      </c>
      <c r="V20">
        <f t="shared" si="7"/>
        <v>14.251430472073078</v>
      </c>
      <c r="W20">
        <f t="shared" si="7"/>
        <v>14.441921830369337</v>
      </c>
      <c r="X20">
        <f t="shared" si="7"/>
        <v>14.047089509998989</v>
      </c>
      <c r="Y20">
        <f t="shared" si="7"/>
        <v>14.423076138117738</v>
      </c>
      <c r="Z20">
        <f t="shared" si="7"/>
        <v>13.85424590374978</v>
      </c>
      <c r="AA20">
        <f t="shared" si="7"/>
        <v>13.596404751664021</v>
      </c>
      <c r="AB20">
        <f t="shared" si="7"/>
        <v>13.326269144860895</v>
      </c>
      <c r="AC20">
        <f t="shared" si="7"/>
        <v>13.284665674662415</v>
      </c>
      <c r="AD20">
        <f t="shared" si="7"/>
        <v>13.997898635872918</v>
      </c>
      <c r="AE20">
        <f t="shared" si="7"/>
        <v>14.620074859004955</v>
      </c>
      <c r="AF20">
        <f t="shared" si="7"/>
        <v>15.413336352247004</v>
      </c>
      <c r="AG20">
        <f t="shared" si="7"/>
        <v>15.609562513782837</v>
      </c>
      <c r="AH20">
        <f t="shared" si="7"/>
        <v>16.244805044066364</v>
      </c>
      <c r="AI20">
        <f t="shared" si="7"/>
        <v>17.697631380286253</v>
      </c>
      <c r="AJ20">
        <f t="shared" si="7"/>
        <v>17.724071184428382</v>
      </c>
      <c r="AK20">
        <f t="shared" si="7"/>
        <v>17.973890579704864</v>
      </c>
      <c r="AL20">
        <f t="shared" si="7"/>
        <v>18.9331776474279</v>
      </c>
      <c r="AM20">
        <f t="shared" si="7"/>
        <v>19.33197525358344</v>
      </c>
      <c r="AN20">
        <f t="shared" si="7"/>
        <v>19.160382100355534</v>
      </c>
    </row>
    <row r="22" spans="1:40" x14ac:dyDescent="0.2">
      <c r="A22" t="s">
        <v>13</v>
      </c>
      <c r="B22" t="s">
        <v>1</v>
      </c>
      <c r="C22">
        <v>34.158965137999999</v>
      </c>
      <c r="D22">
        <v>31.890665862999999</v>
      </c>
      <c r="E22">
        <v>30.198363758999999</v>
      </c>
      <c r="F22">
        <v>30.032291719</v>
      </c>
      <c r="G22">
        <v>31.035536116999999</v>
      </c>
      <c r="H22">
        <v>30.918849461000001</v>
      </c>
      <c r="I22">
        <v>32.210566800000002</v>
      </c>
      <c r="J22">
        <v>32.886966680999997</v>
      </c>
      <c r="K22">
        <v>34.243286226000002</v>
      </c>
      <c r="L22">
        <v>34.235454038</v>
      </c>
      <c r="M22">
        <v>33.563363508000002</v>
      </c>
      <c r="N22">
        <v>32.862616797000001</v>
      </c>
      <c r="O22">
        <v>33.551247629999999</v>
      </c>
      <c r="P22">
        <v>33.685257929999999</v>
      </c>
      <c r="Q22">
        <v>34.562795500999997</v>
      </c>
      <c r="R22">
        <v>34.458440187000001</v>
      </c>
      <c r="S22">
        <v>35.673079944000001</v>
      </c>
      <c r="T22">
        <v>36.171674983000003</v>
      </c>
      <c r="U22">
        <v>36.837543859999997</v>
      </c>
      <c r="V22">
        <v>37.854558376999996</v>
      </c>
      <c r="W22">
        <v>38.291877775000003</v>
      </c>
      <c r="X22">
        <v>38.232692653000001</v>
      </c>
      <c r="Y22">
        <v>38.295428778000002</v>
      </c>
      <c r="Z22">
        <v>38.948532282999999</v>
      </c>
      <c r="AA22">
        <v>40.444106636000001</v>
      </c>
      <c r="AB22">
        <v>40.572561186000001</v>
      </c>
      <c r="AC22">
        <v>40.228924947000003</v>
      </c>
      <c r="AD22">
        <v>39.997046623999999</v>
      </c>
      <c r="AE22">
        <v>37.629816605000002</v>
      </c>
      <c r="AF22">
        <v>35.756747429999997</v>
      </c>
      <c r="AG22">
        <v>36.447838097000002</v>
      </c>
      <c r="AH22">
        <v>35.833084763000002</v>
      </c>
      <c r="AI22">
        <v>35.045733632999998</v>
      </c>
      <c r="AJ22">
        <v>35.700909961999997</v>
      </c>
      <c r="AK22">
        <v>35.977291336999997</v>
      </c>
      <c r="AL22">
        <v>36.742889161000001</v>
      </c>
      <c r="AM22">
        <v>37.187634463000002</v>
      </c>
      <c r="AN22">
        <v>37.530989251000001</v>
      </c>
    </row>
    <row r="23" spans="1:40" x14ac:dyDescent="0.2">
      <c r="B23" t="s">
        <v>4</v>
      </c>
      <c r="C23">
        <f>C22*0.000293071*10^15</f>
        <v>10011002071958.799</v>
      </c>
      <c r="D23">
        <f t="shared" ref="D23:AN23" si="8">D22*0.000293071*10^15</f>
        <v>9346229335135.2734</v>
      </c>
      <c r="E23">
        <f t="shared" si="8"/>
        <v>8850264665213.8887</v>
      </c>
      <c r="F23">
        <f t="shared" si="8"/>
        <v>8801593766379.0488</v>
      </c>
      <c r="G23">
        <f t="shared" si="8"/>
        <v>9095615605345.3066</v>
      </c>
      <c r="H23">
        <f t="shared" si="8"/>
        <v>9061418130384.7305</v>
      </c>
      <c r="I23">
        <f t="shared" si="8"/>
        <v>9439983022642.8008</v>
      </c>
      <c r="J23">
        <f t="shared" si="8"/>
        <v>9638216212167.3496</v>
      </c>
      <c r="K23">
        <f t="shared" si="8"/>
        <v>10035714137540.047</v>
      </c>
      <c r="L23">
        <f t="shared" si="8"/>
        <v>10033418750370.699</v>
      </c>
      <c r="M23">
        <f t="shared" si="8"/>
        <v>9836448506653.0684</v>
      </c>
      <c r="N23">
        <f t="shared" si="8"/>
        <v>9631079967313.5879</v>
      </c>
      <c r="O23">
        <f t="shared" si="8"/>
        <v>9832897694171.7285</v>
      </c>
      <c r="P23">
        <f t="shared" si="8"/>
        <v>9872172226803.0293</v>
      </c>
      <c r="Q23">
        <f t="shared" si="8"/>
        <v>10129353040273.57</v>
      </c>
      <c r="R23">
        <f t="shared" si="8"/>
        <v>10098769524044.277</v>
      </c>
      <c r="S23">
        <f t="shared" si="8"/>
        <v>10454745212268.023</v>
      </c>
      <c r="T23">
        <f t="shared" si="8"/>
        <v>10600868958942.795</v>
      </c>
      <c r="U23">
        <f t="shared" si="8"/>
        <v>10796015816594.059</v>
      </c>
      <c r="V23">
        <f t="shared" si="8"/>
        <v>11094073278105.766</v>
      </c>
      <c r="W23">
        <f t="shared" si="8"/>
        <v>11222238911397.025</v>
      </c>
      <c r="X23">
        <f t="shared" si="8"/>
        <v>11204893468507.363</v>
      </c>
      <c r="Y23">
        <f t="shared" si="8"/>
        <v>11223279607397.238</v>
      </c>
      <c r="Z23">
        <f t="shared" si="8"/>
        <v>11414685304711.092</v>
      </c>
      <c r="AA23">
        <f t="shared" si="8"/>
        <v>11852994775919.156</v>
      </c>
      <c r="AB23">
        <f t="shared" si="8"/>
        <v>11890641079342.207</v>
      </c>
      <c r="AC23">
        <f t="shared" si="8"/>
        <v>11789931263142.236</v>
      </c>
      <c r="AD23">
        <f t="shared" si="8"/>
        <v>11721974451142.303</v>
      </c>
      <c r="AE23">
        <f t="shared" si="8"/>
        <v>11028207982243.957</v>
      </c>
      <c r="AF23">
        <f t="shared" si="8"/>
        <v>10479265726057.529</v>
      </c>
      <c r="AG23">
        <f t="shared" si="8"/>
        <v>10681804358925.887</v>
      </c>
      <c r="AH23">
        <f t="shared" si="8"/>
        <v>10501637984577.174</v>
      </c>
      <c r="AI23">
        <f t="shared" si="8"/>
        <v>10270888201556.941</v>
      </c>
      <c r="AJ23">
        <f t="shared" si="8"/>
        <v>10462901383473.303</v>
      </c>
      <c r="AK23">
        <f t="shared" si="8"/>
        <v>10543900749425.926</v>
      </c>
      <c r="AL23">
        <f t="shared" si="8"/>
        <v>10768275269303.432</v>
      </c>
      <c r="AM23">
        <f t="shared" si="8"/>
        <v>10898617219705.875</v>
      </c>
      <c r="AN23">
        <f t="shared" si="8"/>
        <v>10999244550779.82</v>
      </c>
    </row>
    <row r="24" spans="1:40" x14ac:dyDescent="0.2">
      <c r="A24" t="s">
        <v>6</v>
      </c>
      <c r="B24" t="s">
        <v>5</v>
      </c>
      <c r="C24">
        <f>C23*870</f>
        <v>8709571802604155</v>
      </c>
      <c r="D24">
        <f t="shared" ref="D24:AN24" si="9">D23*870</f>
        <v>8131219521567688</v>
      </c>
      <c r="E24">
        <f t="shared" si="9"/>
        <v>7699730258736083</v>
      </c>
      <c r="F24">
        <f t="shared" si="9"/>
        <v>7657386576749772</v>
      </c>
      <c r="G24">
        <f t="shared" si="9"/>
        <v>7913185576650417</v>
      </c>
      <c r="H24">
        <f t="shared" si="9"/>
        <v>7883433773434716</v>
      </c>
      <c r="I24">
        <f t="shared" si="9"/>
        <v>8212785229699237</v>
      </c>
      <c r="J24">
        <f t="shared" si="9"/>
        <v>8385248104585594</v>
      </c>
      <c r="K24">
        <f t="shared" si="9"/>
        <v>8731071299659841</v>
      </c>
      <c r="L24">
        <f t="shared" si="9"/>
        <v>8729074312822508</v>
      </c>
      <c r="M24">
        <f t="shared" si="9"/>
        <v>8557710200788169</v>
      </c>
      <c r="N24">
        <f t="shared" si="9"/>
        <v>8379039571562821</v>
      </c>
      <c r="O24">
        <f t="shared" si="9"/>
        <v>8554620993929404</v>
      </c>
      <c r="P24">
        <f t="shared" si="9"/>
        <v>8588789837318635</v>
      </c>
      <c r="Q24">
        <f t="shared" si="9"/>
        <v>8812537145038006</v>
      </c>
      <c r="R24">
        <f t="shared" si="9"/>
        <v>8785929485918521</v>
      </c>
      <c r="S24">
        <f t="shared" si="9"/>
        <v>9095628334673180</v>
      </c>
      <c r="T24">
        <f t="shared" si="9"/>
        <v>9222755994280232</v>
      </c>
      <c r="U24">
        <f t="shared" si="9"/>
        <v>9392533760436830</v>
      </c>
      <c r="V24">
        <f t="shared" si="9"/>
        <v>9651843751952016</v>
      </c>
      <c r="W24">
        <f t="shared" si="9"/>
        <v>9763347852915412</v>
      </c>
      <c r="X24">
        <f t="shared" si="9"/>
        <v>9748257317601406</v>
      </c>
      <c r="Y24">
        <f t="shared" si="9"/>
        <v>9764253258435598</v>
      </c>
      <c r="Z24">
        <f t="shared" si="9"/>
        <v>9930776215098650</v>
      </c>
      <c r="AA24">
        <f t="shared" si="9"/>
        <v>1.0312105455049666E+16</v>
      </c>
      <c r="AB24">
        <f t="shared" si="9"/>
        <v>1.034485773902772E+16</v>
      </c>
      <c r="AC24">
        <f t="shared" si="9"/>
        <v>1.0257240198933746E+16</v>
      </c>
      <c r="AD24">
        <f t="shared" si="9"/>
        <v>1.0198117772493804E+16</v>
      </c>
      <c r="AE24">
        <f t="shared" si="9"/>
        <v>9594540944552242</v>
      </c>
      <c r="AF24">
        <f t="shared" si="9"/>
        <v>9116961181670050</v>
      </c>
      <c r="AG24">
        <f t="shared" si="9"/>
        <v>9293169792265522</v>
      </c>
      <c r="AH24">
        <f t="shared" si="9"/>
        <v>9136425046582142</v>
      </c>
      <c r="AI24">
        <f t="shared" si="9"/>
        <v>8935672735354539</v>
      </c>
      <c r="AJ24">
        <f t="shared" si="9"/>
        <v>9102724203621774</v>
      </c>
      <c r="AK24">
        <f t="shared" si="9"/>
        <v>9173193652000556</v>
      </c>
      <c r="AL24">
        <f t="shared" si="9"/>
        <v>9368399484293986</v>
      </c>
      <c r="AM24">
        <f t="shared" si="9"/>
        <v>9481796981144112</v>
      </c>
      <c r="AN24">
        <f t="shared" si="9"/>
        <v>9569342759178444</v>
      </c>
    </row>
    <row r="25" spans="1:40" x14ac:dyDescent="0.2">
      <c r="B25" t="s">
        <v>10</v>
      </c>
      <c r="C25">
        <f>C24/C10*100</f>
        <v>56.686320418411817</v>
      </c>
      <c r="D25">
        <f t="shared" ref="D25:AN25" si="10">D24/D10*100</f>
        <v>54.692652704010015</v>
      </c>
      <c r="E25">
        <f t="shared" si="10"/>
        <v>54.540907534973584</v>
      </c>
      <c r="F25">
        <f t="shared" si="10"/>
        <v>54.276019654826001</v>
      </c>
      <c r="G25">
        <f t="shared" si="10"/>
        <v>53.368946821262462</v>
      </c>
      <c r="H25">
        <f t="shared" si="10"/>
        <v>53.147285837303393</v>
      </c>
      <c r="I25">
        <f t="shared" si="10"/>
        <v>54.837825317983466</v>
      </c>
      <c r="J25">
        <f t="shared" si="10"/>
        <v>54.179854082087154</v>
      </c>
      <c r="K25">
        <f t="shared" si="10"/>
        <v>54.055639651997268</v>
      </c>
      <c r="L25">
        <f t="shared" si="10"/>
        <v>53.394691171604528</v>
      </c>
      <c r="M25">
        <f t="shared" si="10"/>
        <v>52.801903803387226</v>
      </c>
      <c r="N25">
        <f t="shared" si="10"/>
        <v>52.272294392945831</v>
      </c>
      <c r="O25">
        <f t="shared" si="10"/>
        <v>52.422882611638563</v>
      </c>
      <c r="P25">
        <f t="shared" si="10"/>
        <v>51.705338392386558</v>
      </c>
      <c r="Q25">
        <f t="shared" si="10"/>
        <v>52.101804495695568</v>
      </c>
      <c r="R25">
        <f t="shared" si="10"/>
        <v>51.528521073667498</v>
      </c>
      <c r="S25">
        <f t="shared" si="10"/>
        <v>51.490903038085477</v>
      </c>
      <c r="T25">
        <f t="shared" si="10"/>
        <v>51.443465346187267</v>
      </c>
      <c r="U25">
        <f t="shared" si="10"/>
        <v>51.86090911163145</v>
      </c>
      <c r="V25">
        <f t="shared" si="10"/>
        <v>52.531626052646438</v>
      </c>
      <c r="W25">
        <f t="shared" si="10"/>
        <v>51.781191864496058</v>
      </c>
      <c r="X25">
        <f t="shared" si="10"/>
        <v>52.60948718154129</v>
      </c>
      <c r="Y25">
        <f t="shared" si="10"/>
        <v>52.408937380929274</v>
      </c>
      <c r="Z25">
        <f t="shared" si="10"/>
        <v>52.724261577017593</v>
      </c>
      <c r="AA25">
        <f t="shared" si="10"/>
        <v>53.513253975778987</v>
      </c>
      <c r="AB25">
        <f t="shared" si="10"/>
        <v>53.4506888097931</v>
      </c>
      <c r="AC25">
        <f t="shared" si="10"/>
        <v>53.608489301006855</v>
      </c>
      <c r="AD25">
        <f t="shared" si="10"/>
        <v>52.781294018096304</v>
      </c>
      <c r="AE25">
        <f t="shared" si="10"/>
        <v>51.472622390257072</v>
      </c>
      <c r="AF25">
        <f t="shared" si="10"/>
        <v>52.504643236066862</v>
      </c>
      <c r="AG25">
        <f t="shared" si="10"/>
        <v>51.64496307187644</v>
      </c>
      <c r="AH25">
        <f t="shared" si="10"/>
        <v>52.03598777246129</v>
      </c>
      <c r="AI25">
        <f t="shared" si="10"/>
        <v>53.03401150834803</v>
      </c>
      <c r="AJ25">
        <f t="shared" si="10"/>
        <v>52.659826931201927</v>
      </c>
      <c r="AK25">
        <f t="shared" si="10"/>
        <v>52.680129214588902</v>
      </c>
      <c r="AL25">
        <f t="shared" si="10"/>
        <v>55.047742797327018</v>
      </c>
      <c r="AM25">
        <f t="shared" si="10"/>
        <v>56.468429456323754</v>
      </c>
      <c r="AN25">
        <f t="shared" si="10"/>
        <v>57.179095688984795</v>
      </c>
    </row>
    <row r="27" spans="1:40" x14ac:dyDescent="0.2">
      <c r="A27" t="s">
        <v>14</v>
      </c>
      <c r="B27" t="s">
        <v>1</v>
      </c>
      <c r="C27">
        <v>8.2038793769999998</v>
      </c>
      <c r="D27">
        <v>8.5116849800000001</v>
      </c>
      <c r="E27">
        <v>9.1700214510000002</v>
      </c>
      <c r="F27">
        <v>9.7678246909999995</v>
      </c>
      <c r="G27">
        <v>10.070926182999999</v>
      </c>
      <c r="H27">
        <v>10.233375208</v>
      </c>
      <c r="I27">
        <v>10.536552090000001</v>
      </c>
      <c r="J27">
        <v>10.472984388</v>
      </c>
      <c r="K27">
        <v>11.121177726999999</v>
      </c>
      <c r="L27">
        <v>11.833170769000001</v>
      </c>
      <c r="M27">
        <v>12.093594989</v>
      </c>
      <c r="N27">
        <v>12.493055662</v>
      </c>
      <c r="O27">
        <v>12.337534133</v>
      </c>
      <c r="P27">
        <v>12.516482187999999</v>
      </c>
      <c r="Q27">
        <v>12.782909109</v>
      </c>
      <c r="R27">
        <v>13.712398240000001</v>
      </c>
      <c r="S27">
        <v>14.174869419</v>
      </c>
      <c r="T27">
        <v>13.667197034000001</v>
      </c>
      <c r="U27">
        <v>13.596675886</v>
      </c>
      <c r="V27">
        <v>14.158194915999999</v>
      </c>
      <c r="W27">
        <v>14.006841555999999</v>
      </c>
      <c r="X27">
        <v>13.144215032</v>
      </c>
      <c r="Y27">
        <v>13.825891882000001</v>
      </c>
      <c r="Z27">
        <v>13.734670738</v>
      </c>
      <c r="AA27">
        <v>14.169005514</v>
      </c>
      <c r="AB27">
        <v>14.167108269</v>
      </c>
      <c r="AC27">
        <v>14.476717845</v>
      </c>
      <c r="AD27">
        <v>14.484091233999999</v>
      </c>
      <c r="AE27">
        <v>14.893503866</v>
      </c>
      <c r="AF27">
        <v>15.078322764999999</v>
      </c>
      <c r="AG27">
        <v>15.660299284000001</v>
      </c>
      <c r="AH27">
        <v>16.404823015000002</v>
      </c>
      <c r="AI27">
        <v>15.867573969</v>
      </c>
      <c r="AJ27">
        <v>16.572614378000001</v>
      </c>
      <c r="AK27">
        <v>16.917786477</v>
      </c>
      <c r="AL27">
        <v>16.894752007000001</v>
      </c>
      <c r="AM27">
        <v>17.520053809</v>
      </c>
      <c r="AN27">
        <v>18.284109768</v>
      </c>
    </row>
    <row r="28" spans="1:40" x14ac:dyDescent="0.2">
      <c r="B28" t="s">
        <v>4</v>
      </c>
      <c r="C28">
        <f>C27*0.000293071*10^15</f>
        <v>2404319132896.7666</v>
      </c>
      <c r="D28">
        <f t="shared" ref="D28:AN28" si="11">D27*0.000293071*10^15</f>
        <v>2494528028773.5801</v>
      </c>
      <c r="E28">
        <f t="shared" si="11"/>
        <v>2687467356666.021</v>
      </c>
      <c r="F28">
        <f t="shared" si="11"/>
        <v>2862666150016.061</v>
      </c>
      <c r="G28">
        <f t="shared" si="11"/>
        <v>2951496407377.9932</v>
      </c>
      <c r="H28">
        <f t="shared" si="11"/>
        <v>2999105505583.7681</v>
      </c>
      <c r="I28">
        <f t="shared" si="11"/>
        <v>3087957857568.3901</v>
      </c>
      <c r="J28">
        <f t="shared" si="11"/>
        <v>3069328007575.5483</v>
      </c>
      <c r="K28">
        <f t="shared" si="11"/>
        <v>3259294677629.6167</v>
      </c>
      <c r="L28">
        <f t="shared" si="11"/>
        <v>3467959190441.5991</v>
      </c>
      <c r="M28">
        <f t="shared" si="11"/>
        <v>3544281977021.2188</v>
      </c>
      <c r="N28">
        <f t="shared" si="11"/>
        <v>3661352315918.002</v>
      </c>
      <c r="O28">
        <f t="shared" si="11"/>
        <v>3615773465892.4434</v>
      </c>
      <c r="P28">
        <f t="shared" si="11"/>
        <v>3668217951319.3481</v>
      </c>
      <c r="Q28">
        <f t="shared" si="11"/>
        <v>3746299955483.7393</v>
      </c>
      <c r="R28">
        <f t="shared" si="11"/>
        <v>4018706264595.04</v>
      </c>
      <c r="S28">
        <f t="shared" si="11"/>
        <v>4154243155495.749</v>
      </c>
      <c r="T28">
        <f t="shared" si="11"/>
        <v>4005459101951.4146</v>
      </c>
      <c r="U28">
        <f t="shared" si="11"/>
        <v>3984791398585.9062</v>
      </c>
      <c r="V28">
        <f t="shared" si="11"/>
        <v>4149356342227.0356</v>
      </c>
      <c r="W28">
        <f t="shared" si="11"/>
        <v>4104999061658.4761</v>
      </c>
      <c r="X28">
        <f t="shared" si="11"/>
        <v>3852188243643.272</v>
      </c>
      <c r="Y28">
        <f t="shared" si="11"/>
        <v>4051967959749.6221</v>
      </c>
      <c r="Z28">
        <f t="shared" si="11"/>
        <v>4025233687856.3979</v>
      </c>
      <c r="AA28">
        <f t="shared" si="11"/>
        <v>4152524614993.4941</v>
      </c>
      <c r="AB28">
        <f t="shared" si="11"/>
        <v>4151968587504.0991</v>
      </c>
      <c r="AC28">
        <f t="shared" si="11"/>
        <v>4242706175551.9946</v>
      </c>
      <c r="AD28">
        <f t="shared" si="11"/>
        <v>4244867102039.6138</v>
      </c>
      <c r="AE28">
        <f t="shared" si="11"/>
        <v>4364854071512.4858</v>
      </c>
      <c r="AF28">
        <f t="shared" si="11"/>
        <v>4419019131061.3154</v>
      </c>
      <c r="AG28">
        <f t="shared" si="11"/>
        <v>4589579571461.1641</v>
      </c>
      <c r="AH28">
        <f t="shared" si="11"/>
        <v>4807777885829.0654</v>
      </c>
      <c r="AI28">
        <f t="shared" si="11"/>
        <v>4650325770668.7988</v>
      </c>
      <c r="AJ28">
        <f t="shared" si="11"/>
        <v>4856952668374.8389</v>
      </c>
      <c r="AK28">
        <f t="shared" si="11"/>
        <v>4958112600600.8662</v>
      </c>
      <c r="AL28">
        <f t="shared" si="11"/>
        <v>4951361865443.498</v>
      </c>
      <c r="AM28">
        <f t="shared" si="11"/>
        <v>5134619689857.4395</v>
      </c>
      <c r="AN28">
        <f t="shared" si="11"/>
        <v>5358542333817.5283</v>
      </c>
    </row>
    <row r="29" spans="1:40" x14ac:dyDescent="0.2">
      <c r="A29" t="s">
        <v>7</v>
      </c>
      <c r="B29" t="s">
        <v>5</v>
      </c>
      <c r="C29">
        <f>C28*20</f>
        <v>48086382657935.328</v>
      </c>
      <c r="D29">
        <f t="shared" ref="D29:AN29" si="12">D28*20</f>
        <v>49890560575471.602</v>
      </c>
      <c r="E29">
        <f t="shared" si="12"/>
        <v>53749347133320.422</v>
      </c>
      <c r="F29">
        <f t="shared" si="12"/>
        <v>57253323000321.219</v>
      </c>
      <c r="G29">
        <f t="shared" si="12"/>
        <v>59029928147559.859</v>
      </c>
      <c r="H29">
        <f t="shared" si="12"/>
        <v>59982110111675.359</v>
      </c>
      <c r="I29">
        <f t="shared" si="12"/>
        <v>61759157151367.805</v>
      </c>
      <c r="J29">
        <f t="shared" si="12"/>
        <v>61386560151510.969</v>
      </c>
      <c r="K29">
        <f t="shared" si="12"/>
        <v>65185893552592.336</v>
      </c>
      <c r="L29">
        <f t="shared" si="12"/>
        <v>69359183808831.984</v>
      </c>
      <c r="M29">
        <f t="shared" si="12"/>
        <v>70885639540424.375</v>
      </c>
      <c r="N29">
        <f t="shared" si="12"/>
        <v>73227046318360.031</v>
      </c>
      <c r="O29">
        <f t="shared" si="12"/>
        <v>72315469317848.875</v>
      </c>
      <c r="P29">
        <f t="shared" si="12"/>
        <v>73364359026386.969</v>
      </c>
      <c r="Q29">
        <f t="shared" si="12"/>
        <v>74925999109674.781</v>
      </c>
      <c r="R29">
        <f t="shared" si="12"/>
        <v>80374125291900.797</v>
      </c>
      <c r="S29">
        <f t="shared" si="12"/>
        <v>83084863109914.984</v>
      </c>
      <c r="T29">
        <f t="shared" si="12"/>
        <v>80109182039028.297</v>
      </c>
      <c r="U29">
        <f t="shared" si="12"/>
        <v>79695827971718.125</v>
      </c>
      <c r="V29">
        <f t="shared" si="12"/>
        <v>82987126844540.719</v>
      </c>
      <c r="W29">
        <f t="shared" si="12"/>
        <v>82099981233169.516</v>
      </c>
      <c r="X29">
        <f t="shared" si="12"/>
        <v>77043764872865.438</v>
      </c>
      <c r="Y29">
        <f t="shared" si="12"/>
        <v>81039359194992.438</v>
      </c>
      <c r="Z29">
        <f t="shared" si="12"/>
        <v>80504673757127.953</v>
      </c>
      <c r="AA29">
        <f t="shared" si="12"/>
        <v>83050492299869.875</v>
      </c>
      <c r="AB29">
        <f t="shared" si="12"/>
        <v>83039371750081.984</v>
      </c>
      <c r="AC29">
        <f t="shared" si="12"/>
        <v>84854123511039.891</v>
      </c>
      <c r="AD29">
        <f t="shared" si="12"/>
        <v>84897342040792.281</v>
      </c>
      <c r="AE29">
        <f t="shared" si="12"/>
        <v>87297081430249.719</v>
      </c>
      <c r="AF29">
        <f t="shared" si="12"/>
        <v>88380382621226.312</v>
      </c>
      <c r="AG29">
        <f t="shared" si="12"/>
        <v>91791591429223.281</v>
      </c>
      <c r="AH29">
        <f t="shared" si="12"/>
        <v>96155557716581.312</v>
      </c>
      <c r="AI29">
        <f t="shared" si="12"/>
        <v>93006515413375.969</v>
      </c>
      <c r="AJ29">
        <f t="shared" si="12"/>
        <v>97139053367496.781</v>
      </c>
      <c r="AK29">
        <f t="shared" si="12"/>
        <v>99162252012017.328</v>
      </c>
      <c r="AL29">
        <f t="shared" si="12"/>
        <v>99027237308869.969</v>
      </c>
      <c r="AM29">
        <f t="shared" si="12"/>
        <v>102692393797148.78</v>
      </c>
      <c r="AN29">
        <f t="shared" si="12"/>
        <v>107170846676350.56</v>
      </c>
    </row>
    <row r="30" spans="1:40" x14ac:dyDescent="0.2">
      <c r="B30" t="s">
        <v>10</v>
      </c>
      <c r="C30">
        <f>C29/C10*100</f>
        <v>0.3129706209316811</v>
      </c>
      <c r="D30">
        <f t="shared" ref="D30:AN30" si="13">D29/D10*100</f>
        <v>0.3355766125271899</v>
      </c>
      <c r="E30">
        <f t="shared" si="13"/>
        <v>0.38073258069495552</v>
      </c>
      <c r="F30">
        <f t="shared" si="13"/>
        <v>0.40581501969677591</v>
      </c>
      <c r="G30">
        <f t="shared" si="13"/>
        <v>0.39811591244187511</v>
      </c>
      <c r="H30">
        <f t="shared" si="13"/>
        <v>0.40437789456318257</v>
      </c>
      <c r="I30">
        <f t="shared" si="13"/>
        <v>0.4123738508837913</v>
      </c>
      <c r="J30">
        <f t="shared" si="13"/>
        <v>0.39663881499121129</v>
      </c>
      <c r="K30">
        <f t="shared" si="13"/>
        <v>0.40357764257516299</v>
      </c>
      <c r="L30">
        <f t="shared" si="13"/>
        <v>0.42426173345174029</v>
      </c>
      <c r="M30">
        <f t="shared" si="13"/>
        <v>0.43737128650492829</v>
      </c>
      <c r="N30">
        <f t="shared" si="13"/>
        <v>0.45682392235859326</v>
      </c>
      <c r="O30">
        <f t="shared" si="13"/>
        <v>0.4431505921472535</v>
      </c>
      <c r="P30">
        <f t="shared" si="13"/>
        <v>0.44166047618463217</v>
      </c>
      <c r="Q30">
        <f t="shared" si="13"/>
        <v>0.44298023293496136</v>
      </c>
      <c r="R30">
        <f t="shared" si="13"/>
        <v>0.47138550514423178</v>
      </c>
      <c r="S30">
        <f t="shared" si="13"/>
        <v>0.47034844355026706</v>
      </c>
      <c r="T30">
        <f t="shared" si="13"/>
        <v>0.4468397442903162</v>
      </c>
      <c r="U30">
        <f t="shared" si="13"/>
        <v>0.44004080224091369</v>
      </c>
      <c r="V30">
        <f t="shared" si="13"/>
        <v>0.45167004632656665</v>
      </c>
      <c r="W30">
        <f t="shared" si="13"/>
        <v>0.43542798478053041</v>
      </c>
      <c r="X30">
        <f t="shared" si="13"/>
        <v>0.41579051808349354</v>
      </c>
      <c r="Y30">
        <f t="shared" si="13"/>
        <v>0.43497301729364063</v>
      </c>
      <c r="Z30">
        <f t="shared" si="13"/>
        <v>0.42741366690852511</v>
      </c>
      <c r="AA30">
        <f t="shared" si="13"/>
        <v>0.43097911543176787</v>
      </c>
      <c r="AB30">
        <f t="shared" si="13"/>
        <v>0.42905487251210067</v>
      </c>
      <c r="AC30">
        <f t="shared" si="13"/>
        <v>0.44348199751242645</v>
      </c>
      <c r="AD30">
        <f t="shared" si="13"/>
        <v>0.43939398147528774</v>
      </c>
      <c r="AE30">
        <f t="shared" si="13"/>
        <v>0.46832982778421667</v>
      </c>
      <c r="AF30">
        <f t="shared" si="13"/>
        <v>0.50898324190786381</v>
      </c>
      <c r="AG30">
        <f t="shared" si="13"/>
        <v>0.51011371315054088</v>
      </c>
      <c r="AH30">
        <f t="shared" si="13"/>
        <v>0.54764849490731671</v>
      </c>
      <c r="AI30">
        <f t="shared" si="13"/>
        <v>0.55200193145710852</v>
      </c>
      <c r="AJ30">
        <f t="shared" si="13"/>
        <v>0.56195547883982822</v>
      </c>
      <c r="AK30">
        <f t="shared" si="13"/>
        <v>0.56947236124939316</v>
      </c>
      <c r="AL30">
        <f t="shared" si="13"/>
        <v>0.58187376599892626</v>
      </c>
      <c r="AM30">
        <f t="shared" si="13"/>
        <v>0.61158008406710251</v>
      </c>
      <c r="AN30">
        <f t="shared" si="13"/>
        <v>0.64037126178795878</v>
      </c>
    </row>
  </sheetData>
  <pageMargins left="0.78740157499999996" right="0.78740157499999996" top="0.984251969" bottom="0.984251969" header="0.4921259845" footer="0.492125984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AN30"/>
  <sheetViews>
    <sheetView topLeftCell="S2" zoomScale="41" workbookViewId="0">
      <selection activeCell="AG48" sqref="AG48"/>
    </sheetView>
  </sheetViews>
  <sheetFormatPr baseColWidth="10" defaultRowHeight="16" x14ac:dyDescent="0.2"/>
  <cols>
    <col min="1" max="1" width="27.33203125" bestFit="1" customWidth="1"/>
    <col min="2" max="2" width="15.6640625" bestFit="1" customWidth="1"/>
    <col min="3" max="4" width="12.5" bestFit="1" customWidth="1"/>
    <col min="5" max="10" width="12.6640625" bestFit="1" customWidth="1"/>
    <col min="11" max="11" width="12.1640625" bestFit="1" customWidth="1"/>
    <col min="12" max="14" width="12.6640625" bestFit="1" customWidth="1"/>
    <col min="15" max="25" width="13.5" bestFit="1" customWidth="1"/>
    <col min="26" max="40" width="13.33203125" bestFit="1" customWidth="1"/>
  </cols>
  <sheetData>
    <row r="5" spans="1:40" x14ac:dyDescent="0.2">
      <c r="C5">
        <v>1980</v>
      </c>
      <c r="D5">
        <v>1981</v>
      </c>
      <c r="E5">
        <v>1982</v>
      </c>
      <c r="F5">
        <v>1983</v>
      </c>
      <c r="G5">
        <v>1984</v>
      </c>
      <c r="H5">
        <v>1985</v>
      </c>
      <c r="I5">
        <v>1986</v>
      </c>
      <c r="J5">
        <v>1987</v>
      </c>
      <c r="K5">
        <v>1988</v>
      </c>
      <c r="L5">
        <v>1989</v>
      </c>
      <c r="M5">
        <v>1990</v>
      </c>
      <c r="N5">
        <v>1991</v>
      </c>
      <c r="O5">
        <v>1992</v>
      </c>
      <c r="P5">
        <v>1993</v>
      </c>
      <c r="Q5">
        <v>1994</v>
      </c>
      <c r="R5">
        <v>1995</v>
      </c>
      <c r="S5">
        <v>1996</v>
      </c>
      <c r="T5">
        <v>1997</v>
      </c>
      <c r="U5">
        <v>1998</v>
      </c>
      <c r="V5">
        <v>1999</v>
      </c>
      <c r="W5">
        <v>2000</v>
      </c>
      <c r="X5">
        <v>2001</v>
      </c>
      <c r="Y5">
        <v>2002</v>
      </c>
      <c r="Z5">
        <v>2003</v>
      </c>
      <c r="AA5">
        <v>2004</v>
      </c>
      <c r="AB5">
        <v>2005</v>
      </c>
      <c r="AC5">
        <v>2006</v>
      </c>
      <c r="AD5">
        <v>2007</v>
      </c>
      <c r="AE5">
        <v>2008</v>
      </c>
      <c r="AF5">
        <v>2009</v>
      </c>
      <c r="AG5">
        <v>2010</v>
      </c>
      <c r="AH5">
        <v>2011</v>
      </c>
      <c r="AI5">
        <v>2012</v>
      </c>
      <c r="AJ5">
        <v>2013</v>
      </c>
      <c r="AK5">
        <v>2014</v>
      </c>
      <c r="AL5">
        <v>2015</v>
      </c>
      <c r="AM5">
        <v>2016</v>
      </c>
      <c r="AN5">
        <v>2017</v>
      </c>
    </row>
    <row r="6" spans="1:40" x14ac:dyDescent="0.2">
      <c r="A6" t="s">
        <v>0</v>
      </c>
      <c r="B6" t="s">
        <v>1</v>
      </c>
    </row>
    <row r="7" spans="1:40" x14ac:dyDescent="0.2">
      <c r="A7" t="s">
        <v>15</v>
      </c>
    </row>
    <row r="8" spans="1:40" x14ac:dyDescent="0.2">
      <c r="A8" t="s">
        <v>3</v>
      </c>
      <c r="B8" t="s">
        <v>1</v>
      </c>
      <c r="C8">
        <v>1.6345154227520999E-2</v>
      </c>
      <c r="D8">
        <v>1.099894268147E-2</v>
      </c>
      <c r="E8">
        <v>1.2806384751632E-2</v>
      </c>
      <c r="F8">
        <v>1.1970136574095999E-2</v>
      </c>
      <c r="G8">
        <v>1.3426557849581E-2</v>
      </c>
      <c r="H8">
        <v>1.4800241284577E-2</v>
      </c>
      <c r="I8">
        <v>1.507091E-2</v>
      </c>
      <c r="J8">
        <v>1.3727583999999999E-2</v>
      </c>
      <c r="K8">
        <v>1.79049012E-2</v>
      </c>
      <c r="L8">
        <v>1.7828384374E-2</v>
      </c>
      <c r="M8">
        <v>1.9426093522000001E-2</v>
      </c>
      <c r="N8">
        <v>2.0595264522000001E-2</v>
      </c>
      <c r="O8">
        <v>2.2970518740400001E-2</v>
      </c>
      <c r="P8">
        <v>2.3545079521999999E-2</v>
      </c>
      <c r="Q8">
        <v>2.4751488522000001E-2</v>
      </c>
      <c r="R8">
        <v>2.4761965521999999E-2</v>
      </c>
      <c r="S8">
        <v>2.6039574740400001E-2</v>
      </c>
      <c r="T8">
        <v>2.7017525521999999E-2</v>
      </c>
      <c r="U8">
        <v>2.89091582E-2</v>
      </c>
      <c r="V8">
        <v>2.8976266000000001E-2</v>
      </c>
      <c r="W8">
        <v>3.5074139107311997E-2</v>
      </c>
      <c r="X8">
        <v>3.6270231085989001E-2</v>
      </c>
      <c r="Y8">
        <v>3.7364990857582998E-2</v>
      </c>
      <c r="Z8">
        <v>3.9395684003336998E-2</v>
      </c>
      <c r="AA8">
        <v>4.1193960344349002E-2</v>
      </c>
      <c r="AB8">
        <v>4.7493611834180001E-2</v>
      </c>
      <c r="AC8">
        <v>4.5378099857231999E-2</v>
      </c>
      <c r="AD8">
        <v>5.4945624813667999E-2</v>
      </c>
      <c r="AE8">
        <v>5.7778992057664999E-2</v>
      </c>
      <c r="AF8">
        <v>5.9348199056156001E-2</v>
      </c>
      <c r="AG8">
        <v>6.5146120070810998E-2</v>
      </c>
      <c r="AH8">
        <v>7.0725797905981005E-2</v>
      </c>
      <c r="AI8">
        <v>7.6740738229500005E-2</v>
      </c>
      <c r="AJ8">
        <v>8.6518131773723E-2</v>
      </c>
      <c r="AK8">
        <v>9.8170942702062003E-2</v>
      </c>
      <c r="AL8">
        <v>9.6271517349272001E-2</v>
      </c>
      <c r="AM8">
        <v>9.9344988800000006E-2</v>
      </c>
      <c r="AN8">
        <v>9.7180787000000005E-2</v>
      </c>
    </row>
    <row r="9" spans="1:40" x14ac:dyDescent="0.2">
      <c r="B9" t="s">
        <v>4</v>
      </c>
      <c r="C9">
        <f>C8*0.000293071*10^15</f>
        <v>4790290694.6138067</v>
      </c>
      <c r="D9">
        <f t="shared" ref="D9:AN9" si="0">D8*0.000293071*10^15</f>
        <v>3223471130.6010942</v>
      </c>
      <c r="E9">
        <f t="shared" si="0"/>
        <v>3753179985.5455418</v>
      </c>
      <c r="F9">
        <f t="shared" si="0"/>
        <v>3508099895.9068885</v>
      </c>
      <c r="G9">
        <f t="shared" si="0"/>
        <v>3934934735.5345531</v>
      </c>
      <c r="H9">
        <f t="shared" si="0"/>
        <v>4337521513.5122662</v>
      </c>
      <c r="I9">
        <f t="shared" si="0"/>
        <v>4416846664.6099997</v>
      </c>
      <c r="J9">
        <f t="shared" si="0"/>
        <v>4023156770.4639997</v>
      </c>
      <c r="K9">
        <f t="shared" si="0"/>
        <v>5247407299.5852003</v>
      </c>
      <c r="L9">
        <f t="shared" si="0"/>
        <v>5224982436.8725538</v>
      </c>
      <c r="M9">
        <f t="shared" si="0"/>
        <v>5693224654.5860615</v>
      </c>
      <c r="N9">
        <f t="shared" si="0"/>
        <v>6035874768.7270622</v>
      </c>
      <c r="O9">
        <f t="shared" si="0"/>
        <v>6731992897.7677689</v>
      </c>
      <c r="P9">
        <f t="shared" si="0"/>
        <v>6900380000.592062</v>
      </c>
      <c r="Q9">
        <f t="shared" si="0"/>
        <v>7253943492.6310625</v>
      </c>
      <c r="R9">
        <f t="shared" si="0"/>
        <v>7257013997.4980621</v>
      </c>
      <c r="S9">
        <f t="shared" si="0"/>
        <v>7631444208.7437687</v>
      </c>
      <c r="T9">
        <f t="shared" si="0"/>
        <v>7918053222.2580614</v>
      </c>
      <c r="U9">
        <f t="shared" si="0"/>
        <v>8472435902.8321991</v>
      </c>
      <c r="V9">
        <f t="shared" si="0"/>
        <v>8492103252.8860006</v>
      </c>
      <c r="W9">
        <f t="shared" si="0"/>
        <v>10279213022.319035</v>
      </c>
      <c r="X9">
        <f t="shared" si="0"/>
        <v>10629752894.601883</v>
      </c>
      <c r="Y9">
        <f t="shared" si="0"/>
        <v>10950595235.622707</v>
      </c>
      <c r="Z9">
        <f t="shared" si="0"/>
        <v>11545732506.541977</v>
      </c>
      <c r="AA9">
        <f t="shared" si="0"/>
        <v>12072755152.078707</v>
      </c>
      <c r="AB9">
        <f t="shared" si="0"/>
        <v>13919000313.854967</v>
      </c>
      <c r="AC9">
        <f t="shared" si="0"/>
        <v>13299005103.258839</v>
      </c>
      <c r="AD9">
        <f t="shared" si="0"/>
        <v>16102969209.766493</v>
      </c>
      <c r="AE9">
        <f t="shared" si="0"/>
        <v>16933346981.33194</v>
      </c>
      <c r="AF9">
        <f t="shared" si="0"/>
        <v>17393236045.586697</v>
      </c>
      <c r="AG9">
        <f t="shared" si="0"/>
        <v>19092438555.272648</v>
      </c>
      <c r="AH9">
        <f t="shared" si="0"/>
        <v>20727680318.10376</v>
      </c>
      <c r="AI9">
        <f t="shared" si="0"/>
        <v>22490484893.657795</v>
      </c>
      <c r="AJ9">
        <f t="shared" si="0"/>
        <v>25355955397.056774</v>
      </c>
      <c r="AK9">
        <f t="shared" si="0"/>
        <v>28771056348.636013</v>
      </c>
      <c r="AL9">
        <f t="shared" si="0"/>
        <v>28214389861.068497</v>
      </c>
      <c r="AM9">
        <f t="shared" si="0"/>
        <v>29115135212.604805</v>
      </c>
      <c r="AN9">
        <f t="shared" si="0"/>
        <v>28480870426.876999</v>
      </c>
    </row>
    <row r="10" spans="1:40" x14ac:dyDescent="0.2">
      <c r="B10" t="s">
        <v>5</v>
      </c>
      <c r="C10">
        <f>C14+C19+C24+C29</f>
        <v>2681025474454.2158</v>
      </c>
      <c r="D10">
        <f t="shared" ref="D10:AN10" si="1">D14+D19+D24+D29</f>
        <v>1714489401825.364</v>
      </c>
      <c r="E10">
        <f t="shared" si="1"/>
        <v>2034462325635.29</v>
      </c>
      <c r="F10">
        <f t="shared" si="1"/>
        <v>1977997599493.3132</v>
      </c>
      <c r="G10">
        <f t="shared" si="1"/>
        <v>2043465636322.5281</v>
      </c>
      <c r="H10">
        <f t="shared" si="1"/>
        <v>2200838529284.1841</v>
      </c>
      <c r="I10">
        <f t="shared" si="1"/>
        <v>2351958092989.5498</v>
      </c>
      <c r="J10">
        <f t="shared" si="1"/>
        <v>2067325934691.1797</v>
      </c>
      <c r="K10">
        <f t="shared" si="1"/>
        <v>3129394065483.7139</v>
      </c>
      <c r="L10">
        <f t="shared" si="1"/>
        <v>2861856323166.6865</v>
      </c>
      <c r="M10">
        <f t="shared" si="1"/>
        <v>3088926069575.4478</v>
      </c>
      <c r="N10">
        <f t="shared" si="1"/>
        <v>3354488764640.3428</v>
      </c>
      <c r="O10">
        <f t="shared" si="1"/>
        <v>3533737722187.8071</v>
      </c>
      <c r="P10">
        <f t="shared" si="1"/>
        <v>3632779879059.0181</v>
      </c>
      <c r="Q10">
        <f t="shared" si="1"/>
        <v>3739168829786.123</v>
      </c>
      <c r="R10">
        <f t="shared" si="1"/>
        <v>3692649220092.1377</v>
      </c>
      <c r="S10">
        <f t="shared" si="1"/>
        <v>3762932218440.9766</v>
      </c>
      <c r="T10">
        <f t="shared" si="1"/>
        <v>3863352585650.3374</v>
      </c>
      <c r="U10">
        <f t="shared" si="1"/>
        <v>4369781930840.1035</v>
      </c>
      <c r="V10">
        <f t="shared" si="1"/>
        <v>4370179612361.2695</v>
      </c>
      <c r="W10">
        <f t="shared" si="1"/>
        <v>5126251800279.6963</v>
      </c>
      <c r="X10">
        <f t="shared" si="1"/>
        <v>5260121542586.3936</v>
      </c>
      <c r="Y10">
        <f t="shared" si="1"/>
        <v>5316333527039.5986</v>
      </c>
      <c r="Z10">
        <f t="shared" si="1"/>
        <v>5582018331561.125</v>
      </c>
      <c r="AA10">
        <f t="shared" si="1"/>
        <v>5905167778827.4541</v>
      </c>
      <c r="AB10">
        <f t="shared" si="1"/>
        <v>7344641931730.209</v>
      </c>
      <c r="AC10">
        <f t="shared" si="1"/>
        <v>8650689447447.9326</v>
      </c>
      <c r="AD10">
        <f t="shared" si="1"/>
        <v>10483496854239.689</v>
      </c>
      <c r="AE10">
        <f t="shared" si="1"/>
        <v>10494590507020.143</v>
      </c>
      <c r="AF10">
        <f t="shared" si="1"/>
        <v>11333626554364.781</v>
      </c>
      <c r="AG10">
        <f t="shared" si="1"/>
        <v>13031891071812.76</v>
      </c>
      <c r="AH10">
        <f t="shared" si="1"/>
        <v>13855719788737.902</v>
      </c>
      <c r="AI10">
        <f t="shared" si="1"/>
        <v>13195160392704.119</v>
      </c>
      <c r="AJ10">
        <f t="shared" si="1"/>
        <v>13778999719842.109</v>
      </c>
      <c r="AK10">
        <f t="shared" si="1"/>
        <v>16610305191207.475</v>
      </c>
      <c r="AL10">
        <f t="shared" si="1"/>
        <v>16524422769451.902</v>
      </c>
      <c r="AM10">
        <f t="shared" si="1"/>
        <v>17130204635475.535</v>
      </c>
      <c r="AN10">
        <f t="shared" si="1"/>
        <v>16534601519337.543</v>
      </c>
    </row>
    <row r="12" spans="1:40" x14ac:dyDescent="0.2">
      <c r="A12" t="s">
        <v>11</v>
      </c>
      <c r="B12" t="s">
        <v>1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</row>
    <row r="13" spans="1:40" x14ac:dyDescent="0.2">
      <c r="B13" t="s">
        <v>4</v>
      </c>
      <c r="C13">
        <f>C12*0.000293071*10^15</f>
        <v>0</v>
      </c>
      <c r="D13">
        <f t="shared" ref="D13:AN13" si="2">D12*0.000293071*10^15</f>
        <v>0</v>
      </c>
      <c r="E13">
        <f t="shared" si="2"/>
        <v>0</v>
      </c>
      <c r="F13">
        <f t="shared" si="2"/>
        <v>0</v>
      </c>
      <c r="G13">
        <f t="shared" si="2"/>
        <v>0</v>
      </c>
      <c r="H13">
        <f t="shared" si="2"/>
        <v>0</v>
      </c>
      <c r="I13">
        <f t="shared" si="2"/>
        <v>0</v>
      </c>
      <c r="J13">
        <f t="shared" si="2"/>
        <v>0</v>
      </c>
      <c r="K13">
        <f t="shared" si="2"/>
        <v>0</v>
      </c>
      <c r="L13">
        <f t="shared" si="2"/>
        <v>0</v>
      </c>
      <c r="M13">
        <f t="shared" si="2"/>
        <v>0</v>
      </c>
      <c r="N13">
        <f t="shared" si="2"/>
        <v>0</v>
      </c>
      <c r="O13">
        <f t="shared" si="2"/>
        <v>0</v>
      </c>
      <c r="P13">
        <f t="shared" si="2"/>
        <v>0</v>
      </c>
      <c r="Q13">
        <f t="shared" si="2"/>
        <v>0</v>
      </c>
      <c r="R13">
        <f t="shared" si="2"/>
        <v>0</v>
      </c>
      <c r="S13">
        <f t="shared" si="2"/>
        <v>0</v>
      </c>
      <c r="T13">
        <f t="shared" si="2"/>
        <v>0</v>
      </c>
      <c r="U13">
        <f t="shared" si="2"/>
        <v>0</v>
      </c>
      <c r="V13">
        <f t="shared" si="2"/>
        <v>0</v>
      </c>
      <c r="W13">
        <f t="shared" si="2"/>
        <v>0</v>
      </c>
      <c r="X13">
        <f t="shared" si="2"/>
        <v>0</v>
      </c>
      <c r="Y13">
        <f t="shared" si="2"/>
        <v>0</v>
      </c>
      <c r="Z13">
        <f t="shared" si="2"/>
        <v>0</v>
      </c>
      <c r="AA13">
        <f t="shared" si="2"/>
        <v>0</v>
      </c>
      <c r="AB13">
        <f t="shared" si="2"/>
        <v>0</v>
      </c>
      <c r="AC13">
        <f t="shared" si="2"/>
        <v>0</v>
      </c>
      <c r="AD13">
        <f t="shared" si="2"/>
        <v>0</v>
      </c>
      <c r="AE13">
        <f t="shared" si="2"/>
        <v>0</v>
      </c>
      <c r="AF13">
        <f t="shared" si="2"/>
        <v>0</v>
      </c>
      <c r="AG13">
        <f t="shared" si="2"/>
        <v>0</v>
      </c>
      <c r="AH13">
        <f t="shared" si="2"/>
        <v>0</v>
      </c>
      <c r="AI13">
        <f t="shared" si="2"/>
        <v>0</v>
      </c>
      <c r="AJ13">
        <f t="shared" si="2"/>
        <v>0</v>
      </c>
      <c r="AK13">
        <f t="shared" si="2"/>
        <v>0</v>
      </c>
      <c r="AL13">
        <f t="shared" si="2"/>
        <v>0</v>
      </c>
      <c r="AM13">
        <f t="shared" si="2"/>
        <v>0</v>
      </c>
      <c r="AN13">
        <f t="shared" si="2"/>
        <v>0</v>
      </c>
    </row>
    <row r="14" spans="1:40" x14ac:dyDescent="0.2">
      <c r="A14" t="s">
        <v>9</v>
      </c>
      <c r="B14" t="s">
        <v>5</v>
      </c>
      <c r="C14">
        <f>C13*950</f>
        <v>0</v>
      </c>
      <c r="D14">
        <f t="shared" ref="D14:AN14" si="3">D13*950</f>
        <v>0</v>
      </c>
      <c r="E14">
        <f t="shared" si="3"/>
        <v>0</v>
      </c>
      <c r="F14">
        <f t="shared" si="3"/>
        <v>0</v>
      </c>
      <c r="G14">
        <f t="shared" si="3"/>
        <v>0</v>
      </c>
      <c r="H14">
        <f t="shared" si="3"/>
        <v>0</v>
      </c>
      <c r="I14">
        <f t="shared" si="3"/>
        <v>0</v>
      </c>
      <c r="J14">
        <f t="shared" si="3"/>
        <v>0</v>
      </c>
      <c r="K14">
        <f t="shared" si="3"/>
        <v>0</v>
      </c>
      <c r="L14">
        <f t="shared" si="3"/>
        <v>0</v>
      </c>
      <c r="M14">
        <f t="shared" si="3"/>
        <v>0</v>
      </c>
      <c r="N14">
        <f t="shared" si="3"/>
        <v>0</v>
      </c>
      <c r="O14">
        <f t="shared" si="3"/>
        <v>0</v>
      </c>
      <c r="P14">
        <f t="shared" si="3"/>
        <v>0</v>
      </c>
      <c r="Q14">
        <f t="shared" si="3"/>
        <v>0</v>
      </c>
      <c r="R14">
        <f t="shared" si="3"/>
        <v>0</v>
      </c>
      <c r="S14">
        <f t="shared" si="3"/>
        <v>0</v>
      </c>
      <c r="T14">
        <f t="shared" si="3"/>
        <v>0</v>
      </c>
      <c r="U14">
        <f t="shared" si="3"/>
        <v>0</v>
      </c>
      <c r="V14">
        <f t="shared" si="3"/>
        <v>0</v>
      </c>
      <c r="W14">
        <f t="shared" si="3"/>
        <v>0</v>
      </c>
      <c r="X14">
        <f t="shared" si="3"/>
        <v>0</v>
      </c>
      <c r="Y14">
        <f t="shared" si="3"/>
        <v>0</v>
      </c>
      <c r="Z14">
        <f t="shared" si="3"/>
        <v>0</v>
      </c>
      <c r="AA14">
        <f t="shared" si="3"/>
        <v>0</v>
      </c>
      <c r="AB14">
        <f t="shared" si="3"/>
        <v>0</v>
      </c>
      <c r="AC14">
        <f t="shared" si="3"/>
        <v>0</v>
      </c>
      <c r="AD14">
        <f t="shared" si="3"/>
        <v>0</v>
      </c>
      <c r="AE14">
        <f t="shared" si="3"/>
        <v>0</v>
      </c>
      <c r="AF14">
        <f t="shared" si="3"/>
        <v>0</v>
      </c>
      <c r="AG14">
        <f t="shared" si="3"/>
        <v>0</v>
      </c>
      <c r="AH14">
        <f t="shared" si="3"/>
        <v>0</v>
      </c>
      <c r="AI14">
        <f t="shared" si="3"/>
        <v>0</v>
      </c>
      <c r="AJ14">
        <f t="shared" si="3"/>
        <v>0</v>
      </c>
      <c r="AK14">
        <f t="shared" si="3"/>
        <v>0</v>
      </c>
      <c r="AL14">
        <f t="shared" si="3"/>
        <v>0</v>
      </c>
      <c r="AM14">
        <f t="shared" si="3"/>
        <v>0</v>
      </c>
      <c r="AN14">
        <f t="shared" si="3"/>
        <v>0</v>
      </c>
    </row>
    <row r="15" spans="1:40" x14ac:dyDescent="0.2">
      <c r="B15" t="s">
        <v>10</v>
      </c>
      <c r="C15">
        <f>C14/C10*100</f>
        <v>0</v>
      </c>
      <c r="D15">
        <f t="shared" ref="D15:AN15" si="4">D14/D10*100</f>
        <v>0</v>
      </c>
      <c r="E15">
        <f t="shared" si="4"/>
        <v>0</v>
      </c>
      <c r="F15">
        <f t="shared" si="4"/>
        <v>0</v>
      </c>
      <c r="G15">
        <f t="shared" si="4"/>
        <v>0</v>
      </c>
      <c r="H15">
        <f t="shared" si="4"/>
        <v>0</v>
      </c>
      <c r="I15">
        <f t="shared" si="4"/>
        <v>0</v>
      </c>
      <c r="J15">
        <f t="shared" si="4"/>
        <v>0</v>
      </c>
      <c r="K15">
        <f t="shared" si="4"/>
        <v>0</v>
      </c>
      <c r="L15">
        <f t="shared" si="4"/>
        <v>0</v>
      </c>
      <c r="M15">
        <f t="shared" si="4"/>
        <v>0</v>
      </c>
      <c r="N15">
        <f t="shared" si="4"/>
        <v>0</v>
      </c>
      <c r="O15">
        <f t="shared" si="4"/>
        <v>0</v>
      </c>
      <c r="P15">
        <f t="shared" si="4"/>
        <v>0</v>
      </c>
      <c r="Q15">
        <f t="shared" si="4"/>
        <v>0</v>
      </c>
      <c r="R15">
        <f t="shared" si="4"/>
        <v>0</v>
      </c>
      <c r="S15">
        <f t="shared" si="4"/>
        <v>0</v>
      </c>
      <c r="T15">
        <f t="shared" si="4"/>
        <v>0</v>
      </c>
      <c r="U15">
        <f t="shared" si="4"/>
        <v>0</v>
      </c>
      <c r="V15">
        <f t="shared" si="4"/>
        <v>0</v>
      </c>
      <c r="W15">
        <f t="shared" si="4"/>
        <v>0</v>
      </c>
      <c r="X15">
        <f t="shared" si="4"/>
        <v>0</v>
      </c>
      <c r="Y15">
        <f t="shared" si="4"/>
        <v>0</v>
      </c>
      <c r="Z15">
        <f t="shared" si="4"/>
        <v>0</v>
      </c>
      <c r="AA15">
        <f t="shared" si="4"/>
        <v>0</v>
      </c>
      <c r="AB15">
        <f t="shared" si="4"/>
        <v>0</v>
      </c>
      <c r="AC15">
        <f t="shared" si="4"/>
        <v>0</v>
      </c>
      <c r="AD15">
        <f t="shared" si="4"/>
        <v>0</v>
      </c>
      <c r="AE15">
        <f t="shared" si="4"/>
        <v>0</v>
      </c>
      <c r="AF15">
        <f t="shared" si="4"/>
        <v>0</v>
      </c>
      <c r="AG15">
        <f t="shared" si="4"/>
        <v>0</v>
      </c>
      <c r="AH15">
        <f t="shared" si="4"/>
        <v>0</v>
      </c>
      <c r="AI15">
        <f t="shared" si="4"/>
        <v>0</v>
      </c>
      <c r="AJ15">
        <f t="shared" si="4"/>
        <v>0</v>
      </c>
      <c r="AK15">
        <f t="shared" si="4"/>
        <v>0</v>
      </c>
      <c r="AL15">
        <f t="shared" si="4"/>
        <v>0</v>
      </c>
      <c r="AM15">
        <f t="shared" si="4"/>
        <v>0</v>
      </c>
      <c r="AN15">
        <f t="shared" si="4"/>
        <v>0</v>
      </c>
    </row>
    <row r="17" spans="1:40" x14ac:dyDescent="0.2">
      <c r="A17" t="s">
        <v>12</v>
      </c>
      <c r="B17" t="s">
        <v>1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</row>
    <row r="18" spans="1:40" x14ac:dyDescent="0.2">
      <c r="B18" t="s">
        <v>4</v>
      </c>
      <c r="C18">
        <f>C17*0.000293071*10^15</f>
        <v>0</v>
      </c>
      <c r="D18">
        <f t="shared" ref="D18:AN18" si="5">D17*0.000293071*10^15</f>
        <v>0</v>
      </c>
      <c r="E18">
        <f t="shared" si="5"/>
        <v>0</v>
      </c>
      <c r="F18">
        <f t="shared" si="5"/>
        <v>0</v>
      </c>
      <c r="G18">
        <f t="shared" si="5"/>
        <v>0</v>
      </c>
      <c r="H18">
        <f t="shared" si="5"/>
        <v>0</v>
      </c>
      <c r="I18">
        <f t="shared" si="5"/>
        <v>0</v>
      </c>
      <c r="J18">
        <f t="shared" si="5"/>
        <v>0</v>
      </c>
      <c r="K18">
        <f t="shared" si="5"/>
        <v>0</v>
      </c>
      <c r="L18">
        <f t="shared" si="5"/>
        <v>0</v>
      </c>
      <c r="M18">
        <f t="shared" si="5"/>
        <v>0</v>
      </c>
      <c r="N18">
        <f t="shared" si="5"/>
        <v>0</v>
      </c>
      <c r="O18">
        <f t="shared" si="5"/>
        <v>0</v>
      </c>
      <c r="P18">
        <f t="shared" si="5"/>
        <v>0</v>
      </c>
      <c r="Q18">
        <f t="shared" si="5"/>
        <v>0</v>
      </c>
      <c r="R18">
        <f t="shared" si="5"/>
        <v>0</v>
      </c>
      <c r="S18">
        <f t="shared" si="5"/>
        <v>0</v>
      </c>
      <c r="T18">
        <f t="shared" si="5"/>
        <v>0</v>
      </c>
      <c r="U18">
        <f t="shared" si="5"/>
        <v>0</v>
      </c>
      <c r="V18">
        <f t="shared" si="5"/>
        <v>0</v>
      </c>
      <c r="W18">
        <f t="shared" si="5"/>
        <v>0</v>
      </c>
      <c r="X18">
        <f t="shared" si="5"/>
        <v>0</v>
      </c>
      <c r="Y18">
        <f t="shared" si="5"/>
        <v>0</v>
      </c>
      <c r="Z18">
        <f t="shared" si="5"/>
        <v>0</v>
      </c>
      <c r="AA18">
        <f t="shared" si="5"/>
        <v>0</v>
      </c>
      <c r="AB18">
        <f t="shared" si="5"/>
        <v>0</v>
      </c>
      <c r="AC18">
        <f t="shared" si="5"/>
        <v>0</v>
      </c>
      <c r="AD18">
        <f t="shared" si="5"/>
        <v>0</v>
      </c>
      <c r="AE18">
        <f t="shared" si="5"/>
        <v>0</v>
      </c>
      <c r="AF18">
        <f t="shared" si="5"/>
        <v>0</v>
      </c>
      <c r="AG18">
        <f t="shared" si="5"/>
        <v>0</v>
      </c>
      <c r="AH18">
        <f t="shared" si="5"/>
        <v>0</v>
      </c>
      <c r="AI18">
        <f t="shared" si="5"/>
        <v>0</v>
      </c>
      <c r="AJ18">
        <f t="shared" si="5"/>
        <v>0</v>
      </c>
      <c r="AK18">
        <f t="shared" si="5"/>
        <v>0</v>
      </c>
      <c r="AL18">
        <f t="shared" si="5"/>
        <v>0</v>
      </c>
      <c r="AM18">
        <f t="shared" si="5"/>
        <v>0</v>
      </c>
      <c r="AN18">
        <f t="shared" si="5"/>
        <v>0</v>
      </c>
    </row>
    <row r="19" spans="1:40" x14ac:dyDescent="0.2">
      <c r="A19" t="s">
        <v>8</v>
      </c>
      <c r="B19" t="s">
        <v>5</v>
      </c>
      <c r="C19">
        <f>C18*390</f>
        <v>0</v>
      </c>
      <c r="D19">
        <f t="shared" ref="D19:AN19" si="6">D18*390</f>
        <v>0</v>
      </c>
      <c r="E19">
        <f t="shared" si="6"/>
        <v>0</v>
      </c>
      <c r="F19">
        <f t="shared" si="6"/>
        <v>0</v>
      </c>
      <c r="G19">
        <f t="shared" si="6"/>
        <v>0</v>
      </c>
      <c r="H19">
        <f t="shared" si="6"/>
        <v>0</v>
      </c>
      <c r="I19">
        <f t="shared" si="6"/>
        <v>0</v>
      </c>
      <c r="J19">
        <f t="shared" si="6"/>
        <v>0</v>
      </c>
      <c r="K19">
        <f t="shared" si="6"/>
        <v>0</v>
      </c>
      <c r="L19">
        <f t="shared" si="6"/>
        <v>0</v>
      </c>
      <c r="M19">
        <f t="shared" si="6"/>
        <v>0</v>
      </c>
      <c r="N19">
        <f t="shared" si="6"/>
        <v>0</v>
      </c>
      <c r="O19">
        <f t="shared" si="6"/>
        <v>0</v>
      </c>
      <c r="P19">
        <f t="shared" si="6"/>
        <v>0</v>
      </c>
      <c r="Q19">
        <f t="shared" si="6"/>
        <v>0</v>
      </c>
      <c r="R19">
        <f t="shared" si="6"/>
        <v>0</v>
      </c>
      <c r="S19">
        <f t="shared" si="6"/>
        <v>0</v>
      </c>
      <c r="T19">
        <f t="shared" si="6"/>
        <v>0</v>
      </c>
      <c r="U19">
        <f t="shared" si="6"/>
        <v>0</v>
      </c>
      <c r="V19">
        <f t="shared" si="6"/>
        <v>0</v>
      </c>
      <c r="W19">
        <f t="shared" si="6"/>
        <v>0</v>
      </c>
      <c r="X19">
        <f t="shared" si="6"/>
        <v>0</v>
      </c>
      <c r="Y19">
        <f t="shared" si="6"/>
        <v>0</v>
      </c>
      <c r="Z19">
        <f t="shared" si="6"/>
        <v>0</v>
      </c>
      <c r="AA19">
        <f t="shared" si="6"/>
        <v>0</v>
      </c>
      <c r="AB19">
        <f t="shared" si="6"/>
        <v>0</v>
      </c>
      <c r="AC19">
        <f t="shared" si="6"/>
        <v>0</v>
      </c>
      <c r="AD19">
        <f t="shared" si="6"/>
        <v>0</v>
      </c>
      <c r="AE19">
        <f t="shared" si="6"/>
        <v>0</v>
      </c>
      <c r="AF19">
        <f t="shared" si="6"/>
        <v>0</v>
      </c>
      <c r="AG19">
        <f t="shared" si="6"/>
        <v>0</v>
      </c>
      <c r="AH19">
        <f t="shared" si="6"/>
        <v>0</v>
      </c>
      <c r="AI19">
        <f t="shared" si="6"/>
        <v>0</v>
      </c>
      <c r="AJ19">
        <f t="shared" si="6"/>
        <v>0</v>
      </c>
      <c r="AK19">
        <f t="shared" si="6"/>
        <v>0</v>
      </c>
      <c r="AL19">
        <f t="shared" si="6"/>
        <v>0</v>
      </c>
      <c r="AM19">
        <f t="shared" si="6"/>
        <v>0</v>
      </c>
      <c r="AN19">
        <f t="shared" si="6"/>
        <v>0</v>
      </c>
    </row>
    <row r="20" spans="1:40" x14ac:dyDescent="0.2">
      <c r="B20" t="s">
        <v>10</v>
      </c>
      <c r="C20">
        <f>C19/C10*100</f>
        <v>0</v>
      </c>
      <c r="D20">
        <f t="shared" ref="D20:AN20" si="7">D19/D10*100</f>
        <v>0</v>
      </c>
      <c r="E20">
        <f t="shared" si="7"/>
        <v>0</v>
      </c>
      <c r="F20">
        <f t="shared" si="7"/>
        <v>0</v>
      </c>
      <c r="G20">
        <f t="shared" si="7"/>
        <v>0</v>
      </c>
      <c r="H20">
        <f t="shared" si="7"/>
        <v>0</v>
      </c>
      <c r="I20">
        <f t="shared" si="7"/>
        <v>0</v>
      </c>
      <c r="J20">
        <f t="shared" si="7"/>
        <v>0</v>
      </c>
      <c r="K20">
        <f t="shared" si="7"/>
        <v>0</v>
      </c>
      <c r="L20">
        <f t="shared" si="7"/>
        <v>0</v>
      </c>
      <c r="M20">
        <f t="shared" si="7"/>
        <v>0</v>
      </c>
      <c r="N20">
        <f t="shared" si="7"/>
        <v>0</v>
      </c>
      <c r="O20">
        <f t="shared" si="7"/>
        <v>0</v>
      </c>
      <c r="P20">
        <f t="shared" si="7"/>
        <v>0</v>
      </c>
      <c r="Q20">
        <f t="shared" si="7"/>
        <v>0</v>
      </c>
      <c r="R20">
        <f t="shared" si="7"/>
        <v>0</v>
      </c>
      <c r="S20">
        <f t="shared" si="7"/>
        <v>0</v>
      </c>
      <c r="T20">
        <f t="shared" si="7"/>
        <v>0</v>
      </c>
      <c r="U20">
        <f t="shared" si="7"/>
        <v>0</v>
      </c>
      <c r="V20">
        <f t="shared" si="7"/>
        <v>0</v>
      </c>
      <c r="W20">
        <f t="shared" si="7"/>
        <v>0</v>
      </c>
      <c r="X20">
        <f t="shared" si="7"/>
        <v>0</v>
      </c>
      <c r="Y20">
        <f t="shared" si="7"/>
        <v>0</v>
      </c>
      <c r="Z20">
        <f t="shared" si="7"/>
        <v>0</v>
      </c>
      <c r="AA20">
        <f t="shared" si="7"/>
        <v>0</v>
      </c>
      <c r="AB20">
        <f t="shared" si="7"/>
        <v>0</v>
      </c>
      <c r="AC20">
        <f t="shared" si="7"/>
        <v>0</v>
      </c>
      <c r="AD20">
        <f t="shared" si="7"/>
        <v>0</v>
      </c>
      <c r="AE20">
        <f t="shared" si="7"/>
        <v>0</v>
      </c>
      <c r="AF20">
        <f t="shared" si="7"/>
        <v>0</v>
      </c>
      <c r="AG20">
        <f t="shared" si="7"/>
        <v>0</v>
      </c>
      <c r="AH20">
        <f t="shared" si="7"/>
        <v>0</v>
      </c>
      <c r="AI20">
        <f t="shared" si="7"/>
        <v>0</v>
      </c>
      <c r="AJ20">
        <f t="shared" si="7"/>
        <v>0</v>
      </c>
      <c r="AK20">
        <f t="shared" si="7"/>
        <v>0</v>
      </c>
      <c r="AL20">
        <f t="shared" si="7"/>
        <v>0</v>
      </c>
      <c r="AM20">
        <f t="shared" si="7"/>
        <v>0</v>
      </c>
      <c r="AN20">
        <f t="shared" si="7"/>
        <v>0</v>
      </c>
    </row>
    <row r="22" spans="1:40" x14ac:dyDescent="0.2">
      <c r="A22" t="s">
        <v>13</v>
      </c>
      <c r="B22" t="s">
        <v>1</v>
      </c>
      <c r="C22">
        <v>1.037780911376E-2</v>
      </c>
      <c r="D22">
        <v>6.6236508407352002E-3</v>
      </c>
      <c r="E22">
        <v>7.8655853758159006E-3</v>
      </c>
      <c r="F22">
        <v>7.6585962870477997E-3</v>
      </c>
      <c r="G22">
        <v>7.8871349247906994E-3</v>
      </c>
      <c r="H22">
        <v>8.4865526422886004E-3</v>
      </c>
      <c r="I22">
        <v>9.0868210000000001E-3</v>
      </c>
      <c r="J22">
        <v>7.9758339999999994E-3</v>
      </c>
      <c r="K22">
        <v>1.2140988599999999E-2</v>
      </c>
      <c r="L22">
        <v>1.1068816186999999E-2</v>
      </c>
      <c r="M22">
        <v>1.1942745761E-2</v>
      </c>
      <c r="N22">
        <v>1.2981280261000001E-2</v>
      </c>
      <c r="O22">
        <v>1.36449483702E-2</v>
      </c>
      <c r="P22">
        <v>1.4029012761E-2</v>
      </c>
      <c r="Q22">
        <v>1.4427702261E-2</v>
      </c>
      <c r="R22">
        <v>1.4240712761E-2</v>
      </c>
      <c r="S22">
        <v>1.4492787370199999E-2</v>
      </c>
      <c r="T22">
        <v>1.4872892761E-2</v>
      </c>
      <c r="U22">
        <v>1.6861335599999999E-2</v>
      </c>
      <c r="V22">
        <v>1.6861352999999999E-2</v>
      </c>
      <c r="W22">
        <v>1.9752963053656002E-2</v>
      </c>
      <c r="X22">
        <v>2.0262211042994999E-2</v>
      </c>
      <c r="Y22">
        <v>2.0462102928790998E-2</v>
      </c>
      <c r="Z22">
        <v>2.1480856501667998E-2</v>
      </c>
      <c r="AA22">
        <v>2.2735758172175002E-2</v>
      </c>
      <c r="AB22">
        <v>2.8365990917089998E-2</v>
      </c>
      <c r="AC22">
        <v>3.3658614928616E-2</v>
      </c>
      <c r="AD22">
        <v>4.0790908406833998E-2</v>
      </c>
      <c r="AE22">
        <v>4.0768774028832999E-2</v>
      </c>
      <c r="AF22">
        <v>4.4099981528078001E-2</v>
      </c>
      <c r="AG22">
        <v>5.0780878035405999E-2</v>
      </c>
      <c r="AH22">
        <v>5.3956674952991002E-2</v>
      </c>
      <c r="AI22">
        <v>5.1163473114750002E-2</v>
      </c>
      <c r="AJ22">
        <v>5.3277114386861002E-2</v>
      </c>
      <c r="AK22">
        <v>6.4368598351030995E-2</v>
      </c>
      <c r="AL22">
        <v>6.4068534174635997E-2</v>
      </c>
      <c r="AM22">
        <v>6.6427998399999993E-2</v>
      </c>
      <c r="AN22">
        <v>6.4088000000000006E-2</v>
      </c>
    </row>
    <row r="23" spans="1:40" x14ac:dyDescent="0.2">
      <c r="B23" t="s">
        <v>4</v>
      </c>
      <c r="C23">
        <f>C22*0.000293071*10^15</f>
        <v>3041434894.7787571</v>
      </c>
      <c r="D23">
        <f t="shared" ref="D23:AN23" si="8">D22*0.000293071*10^15</f>
        <v>1941199975.5451057</v>
      </c>
      <c r="E23">
        <f t="shared" si="8"/>
        <v>2305174971.6757417</v>
      </c>
      <c r="F23">
        <f t="shared" si="8"/>
        <v>2244512472.4413857</v>
      </c>
      <c r="G23">
        <f t="shared" si="8"/>
        <v>2311490519.543335</v>
      </c>
      <c r="H23">
        <f t="shared" si="8"/>
        <v>2487162469.4281621</v>
      </c>
      <c r="I23">
        <f t="shared" si="8"/>
        <v>2663083717.2909999</v>
      </c>
      <c r="J23">
        <f t="shared" si="8"/>
        <v>2337485646.2139997</v>
      </c>
      <c r="K23">
        <f t="shared" si="8"/>
        <v>3558171669.9905996</v>
      </c>
      <c r="L23">
        <f t="shared" si="8"/>
        <v>3243949028.7402768</v>
      </c>
      <c r="M23">
        <f t="shared" si="8"/>
        <v>3500072442.9220309</v>
      </c>
      <c r="N23">
        <f t="shared" si="8"/>
        <v>3804436787.371531</v>
      </c>
      <c r="O23">
        <f t="shared" si="8"/>
        <v>3998938663.8028841</v>
      </c>
      <c r="P23">
        <f t="shared" si="8"/>
        <v>4111496798.8790312</v>
      </c>
      <c r="Q23">
        <f t="shared" si="8"/>
        <v>4228341129.3335314</v>
      </c>
      <c r="R23">
        <f t="shared" si="8"/>
        <v>4173539929.579031</v>
      </c>
      <c r="S23">
        <f t="shared" si="8"/>
        <v>4247415687.3718839</v>
      </c>
      <c r="T23">
        <f t="shared" si="8"/>
        <v>4358813554.3590307</v>
      </c>
      <c r="U23">
        <f t="shared" si="8"/>
        <v>4941568485.6275997</v>
      </c>
      <c r="V23">
        <f t="shared" si="8"/>
        <v>4941573585.0629997</v>
      </c>
      <c r="W23">
        <f t="shared" si="8"/>
        <v>5789020635.0980186</v>
      </c>
      <c r="X23">
        <f t="shared" si="8"/>
        <v>5938266452.5815878</v>
      </c>
      <c r="Y23">
        <f t="shared" si="8"/>
        <v>5996848967.4437065</v>
      </c>
      <c r="Z23">
        <f t="shared" si="8"/>
        <v>6295416095.8003426</v>
      </c>
      <c r="AA23">
        <f t="shared" si="8"/>
        <v>6663191383.2774992</v>
      </c>
      <c r="AB23">
        <f t="shared" si="8"/>
        <v>8313249324.0624819</v>
      </c>
      <c r="AC23">
        <f t="shared" si="8"/>
        <v>9864363935.7444191</v>
      </c>
      <c r="AD23">
        <f t="shared" si="8"/>
        <v>11954632317.699245</v>
      </c>
      <c r="AE23">
        <f t="shared" si="8"/>
        <v>11948145373.404116</v>
      </c>
      <c r="AF23">
        <f t="shared" si="8"/>
        <v>12924425686.415348</v>
      </c>
      <c r="AG23">
        <f t="shared" si="8"/>
        <v>14882402706.714472</v>
      </c>
      <c r="AH23">
        <f t="shared" si="8"/>
        <v>15813136685.148026</v>
      </c>
      <c r="AI23">
        <f t="shared" si="8"/>
        <v>14994530229.212898</v>
      </c>
      <c r="AJ23">
        <f t="shared" si="8"/>
        <v>15613977190.471741</v>
      </c>
      <c r="AK23">
        <f t="shared" si="8"/>
        <v>18864569487.335007</v>
      </c>
      <c r="AL23">
        <f t="shared" si="8"/>
        <v>18776629379.094746</v>
      </c>
      <c r="AM23">
        <f t="shared" si="8"/>
        <v>19468119919.086399</v>
      </c>
      <c r="AN23">
        <f t="shared" si="8"/>
        <v>18782334248.000004</v>
      </c>
    </row>
    <row r="24" spans="1:40" x14ac:dyDescent="0.2">
      <c r="A24" t="s">
        <v>6</v>
      </c>
      <c r="B24" t="s">
        <v>5</v>
      </c>
      <c r="C24">
        <f>C23*870</f>
        <v>2646048358457.5186</v>
      </c>
      <c r="D24">
        <f t="shared" ref="D24:AN24" si="9">D23*870</f>
        <v>1688843978724.2419</v>
      </c>
      <c r="E24">
        <f t="shared" si="9"/>
        <v>2005502225357.8953</v>
      </c>
      <c r="F24">
        <f t="shared" si="9"/>
        <v>1952725851024.0056</v>
      </c>
      <c r="G24">
        <f t="shared" si="9"/>
        <v>2010996752002.7014</v>
      </c>
      <c r="H24">
        <f t="shared" si="9"/>
        <v>2163831348402.501</v>
      </c>
      <c r="I24">
        <f t="shared" si="9"/>
        <v>2316882834043.1699</v>
      </c>
      <c r="J24">
        <f t="shared" si="9"/>
        <v>2033612512206.1797</v>
      </c>
      <c r="K24">
        <f t="shared" si="9"/>
        <v>3095609352891.8218</v>
      </c>
      <c r="L24">
        <f t="shared" si="9"/>
        <v>2822235655004.041</v>
      </c>
      <c r="M24">
        <f t="shared" si="9"/>
        <v>3045063025342.167</v>
      </c>
      <c r="N24">
        <f t="shared" si="9"/>
        <v>3309860005013.2319</v>
      </c>
      <c r="O24">
        <f t="shared" si="9"/>
        <v>3479076637508.5093</v>
      </c>
      <c r="P24">
        <f t="shared" si="9"/>
        <v>3577002215024.7573</v>
      </c>
      <c r="Q24">
        <f t="shared" si="9"/>
        <v>3678656782520.1724</v>
      </c>
      <c r="R24">
        <f t="shared" si="9"/>
        <v>3630979738733.7568</v>
      </c>
      <c r="S24">
        <f t="shared" si="9"/>
        <v>3695251648013.5391</v>
      </c>
      <c r="T24">
        <f t="shared" si="9"/>
        <v>3792167792292.3569</v>
      </c>
      <c r="U24">
        <f t="shared" si="9"/>
        <v>4299164582496.0117</v>
      </c>
      <c r="V24">
        <f t="shared" si="9"/>
        <v>4299169019004.8096</v>
      </c>
      <c r="W24">
        <f t="shared" si="9"/>
        <v>5036447952535.2764</v>
      </c>
      <c r="X24">
        <f t="shared" si="9"/>
        <v>5166291813745.9814</v>
      </c>
      <c r="Y24">
        <f t="shared" si="9"/>
        <v>5217258601676.0244</v>
      </c>
      <c r="Z24">
        <f t="shared" si="9"/>
        <v>5477012003346.2979</v>
      </c>
      <c r="AA24">
        <f t="shared" si="9"/>
        <v>5796976503451.4238</v>
      </c>
      <c r="AB24">
        <f t="shared" si="9"/>
        <v>7232526911934.3594</v>
      </c>
      <c r="AC24">
        <f t="shared" si="9"/>
        <v>8581996624097.6445</v>
      </c>
      <c r="AD24">
        <f t="shared" si="9"/>
        <v>10400530116398.344</v>
      </c>
      <c r="AE24">
        <f t="shared" si="9"/>
        <v>10394886474861.58</v>
      </c>
      <c r="AF24">
        <f t="shared" si="9"/>
        <v>11244250347181.354</v>
      </c>
      <c r="AG24">
        <f t="shared" si="9"/>
        <v>12947690354841.59</v>
      </c>
      <c r="AH24">
        <f t="shared" si="9"/>
        <v>13757428916078.781</v>
      </c>
      <c r="AI24">
        <f t="shared" si="9"/>
        <v>13045241299415.221</v>
      </c>
      <c r="AJ24">
        <f t="shared" si="9"/>
        <v>13584160155710.414</v>
      </c>
      <c r="AK24">
        <f t="shared" si="9"/>
        <v>16412175453981.455</v>
      </c>
      <c r="AL24">
        <f t="shared" si="9"/>
        <v>16335667559812.428</v>
      </c>
      <c r="AM24">
        <f t="shared" si="9"/>
        <v>16937264329605.168</v>
      </c>
      <c r="AN24">
        <f t="shared" si="9"/>
        <v>16340630795760.004</v>
      </c>
    </row>
    <row r="25" spans="1:40" x14ac:dyDescent="0.2">
      <c r="B25" t="s">
        <v>10</v>
      </c>
      <c r="C25">
        <f>C24/C10*100</f>
        <v>98.695382929779214</v>
      </c>
      <c r="D25">
        <f t="shared" ref="D25:AN25" si="10">D24/D10*100</f>
        <v>98.504194713958682</v>
      </c>
      <c r="E25">
        <f t="shared" si="10"/>
        <v>98.576523147542119</v>
      </c>
      <c r="F25">
        <f t="shared" si="10"/>
        <v>98.72235696970607</v>
      </c>
      <c r="G25">
        <f t="shared" si="10"/>
        <v>98.411087334051857</v>
      </c>
      <c r="H25">
        <f t="shared" si="10"/>
        <v>98.318496319049828</v>
      </c>
      <c r="I25">
        <f t="shared" si="10"/>
        <v>98.508678404988231</v>
      </c>
      <c r="J25">
        <f t="shared" si="10"/>
        <v>98.369225581739911</v>
      </c>
      <c r="K25">
        <f t="shared" si="10"/>
        <v>98.920407213507318</v>
      </c>
      <c r="L25">
        <f t="shared" si="10"/>
        <v>98.615560542228593</v>
      </c>
      <c r="M25">
        <f t="shared" si="10"/>
        <v>98.579990480662119</v>
      </c>
      <c r="N25">
        <f t="shared" si="10"/>
        <v>98.669580888225283</v>
      </c>
      <c r="O25">
        <f t="shared" si="10"/>
        <v>98.453165204194732</v>
      </c>
      <c r="P25">
        <f t="shared" si="10"/>
        <v>98.464601052329414</v>
      </c>
      <c r="Q25">
        <f t="shared" si="10"/>
        <v>98.381671167562331</v>
      </c>
      <c r="R25">
        <f t="shared" si="10"/>
        <v>98.329939355657444</v>
      </c>
      <c r="S25">
        <f t="shared" si="10"/>
        <v>98.201387468640661</v>
      </c>
      <c r="T25">
        <f t="shared" si="10"/>
        <v>98.157434720755688</v>
      </c>
      <c r="U25">
        <f t="shared" si="10"/>
        <v>98.383961729401094</v>
      </c>
      <c r="V25">
        <f t="shared" si="10"/>
        <v>98.375110415242361</v>
      </c>
      <c r="W25">
        <f t="shared" si="10"/>
        <v>98.248157694096889</v>
      </c>
      <c r="X25">
        <f t="shared" si="10"/>
        <v>98.216206068989877</v>
      </c>
      <c r="Y25">
        <f t="shared" si="10"/>
        <v>98.13640500808188</v>
      </c>
      <c r="Z25">
        <f t="shared" si="10"/>
        <v>98.118846589572911</v>
      </c>
      <c r="AA25">
        <f t="shared" si="10"/>
        <v>98.16785433660425</v>
      </c>
      <c r="AB25">
        <f t="shared" si="10"/>
        <v>98.473512788806048</v>
      </c>
      <c r="AC25">
        <f t="shared" si="10"/>
        <v>99.205926605415783</v>
      </c>
      <c r="AD25">
        <f t="shared" si="10"/>
        <v>99.208596721161868</v>
      </c>
      <c r="AE25">
        <f t="shared" si="10"/>
        <v>99.049948332030041</v>
      </c>
      <c r="AF25">
        <f t="shared" si="10"/>
        <v>99.211406810038156</v>
      </c>
      <c r="AG25">
        <f t="shared" si="10"/>
        <v>99.353887194827067</v>
      </c>
      <c r="AH25">
        <f t="shared" si="10"/>
        <v>99.290611572998088</v>
      </c>
      <c r="AI25">
        <f t="shared" si="10"/>
        <v>98.863832732402471</v>
      </c>
      <c r="AJ25">
        <f t="shared" si="10"/>
        <v>98.585967282870897</v>
      </c>
      <c r="AK25">
        <f t="shared" si="10"/>
        <v>98.807187857506079</v>
      </c>
      <c r="AL25">
        <f t="shared" si="10"/>
        <v>98.857719798912314</v>
      </c>
      <c r="AM25">
        <f t="shared" si="10"/>
        <v>98.873683590032542</v>
      </c>
      <c r="AN25">
        <f t="shared" si="10"/>
        <v>98.826879962297937</v>
      </c>
    </row>
    <row r="27" spans="1:40" x14ac:dyDescent="0.2">
      <c r="A27" t="s">
        <v>14</v>
      </c>
      <c r="B27" t="s">
        <v>1</v>
      </c>
      <c r="C27">
        <v>5.9673451137604002E-3</v>
      </c>
      <c r="D27">
        <v>4.3752918407352001E-3</v>
      </c>
      <c r="E27">
        <v>4.9407993758159002E-3</v>
      </c>
      <c r="F27">
        <v>4.3115402870477996E-3</v>
      </c>
      <c r="G27">
        <v>5.5394229247907002E-3</v>
      </c>
      <c r="H27">
        <v>6.3136886422886004E-3</v>
      </c>
      <c r="I27">
        <v>5.9840889999999997E-3</v>
      </c>
      <c r="J27">
        <v>5.7517499999999999E-3</v>
      </c>
      <c r="K27">
        <v>5.7639125999999997E-3</v>
      </c>
      <c r="L27">
        <v>6.7595681870000002E-3</v>
      </c>
      <c r="M27">
        <v>7.4833477610000004E-3</v>
      </c>
      <c r="N27">
        <v>7.6139842610000001E-3</v>
      </c>
      <c r="O27">
        <v>9.3255703701999992E-3</v>
      </c>
      <c r="P27">
        <v>9.5160667609999992E-3</v>
      </c>
      <c r="Q27">
        <v>1.0323786261000001E-2</v>
      </c>
      <c r="R27">
        <v>1.0521252760999999E-2</v>
      </c>
      <c r="S27">
        <v>1.15467873702E-2</v>
      </c>
      <c r="T27">
        <v>1.2144632761E-2</v>
      </c>
      <c r="U27">
        <v>1.2047822600000001E-2</v>
      </c>
      <c r="V27">
        <v>1.2114913E-2</v>
      </c>
      <c r="W27">
        <v>1.5321176053656E-2</v>
      </c>
      <c r="X27">
        <v>1.6008020042995001E-2</v>
      </c>
      <c r="Y27">
        <v>1.6902887928791001E-2</v>
      </c>
      <c r="Z27">
        <v>1.7914827501668E-2</v>
      </c>
      <c r="AA27">
        <v>1.8458202172175E-2</v>
      </c>
      <c r="AB27">
        <v>1.9127620917089999E-2</v>
      </c>
      <c r="AC27">
        <v>1.1719484928616001E-2</v>
      </c>
      <c r="AD27">
        <v>1.4154716406834E-2</v>
      </c>
      <c r="AE27">
        <v>1.7010218028832999E-2</v>
      </c>
      <c r="AF27">
        <v>1.5248217528077999E-2</v>
      </c>
      <c r="AG27">
        <v>1.4365242035406E-2</v>
      </c>
      <c r="AH27">
        <v>1.6769122952991E-2</v>
      </c>
      <c r="AI27">
        <v>2.557726511475E-2</v>
      </c>
      <c r="AJ27">
        <v>3.3241017386860999E-2</v>
      </c>
      <c r="AK27">
        <v>3.3802344351031001E-2</v>
      </c>
      <c r="AL27">
        <v>3.2202983174635998E-2</v>
      </c>
      <c r="AM27">
        <v>3.2916990399999999E-2</v>
      </c>
      <c r="AN27">
        <v>3.3092786999999999E-2</v>
      </c>
    </row>
    <row r="28" spans="1:40" x14ac:dyDescent="0.2">
      <c r="B28" t="s">
        <v>4</v>
      </c>
      <c r="C28">
        <f>C27*0.000293071*10^15</f>
        <v>1748855799.8348742</v>
      </c>
      <c r="D28">
        <f t="shared" ref="D28:AN28" si="11">D27*0.000293071*10^15</f>
        <v>1282271155.0561059</v>
      </c>
      <c r="E28">
        <f t="shared" si="11"/>
        <v>1448005013.8697417</v>
      </c>
      <c r="F28">
        <f t="shared" si="11"/>
        <v>1263587423.4653857</v>
      </c>
      <c r="G28">
        <f t="shared" si="11"/>
        <v>1623444215.9913354</v>
      </c>
      <c r="H28">
        <f t="shared" si="11"/>
        <v>1850359044.0841625</v>
      </c>
      <c r="I28">
        <f t="shared" si="11"/>
        <v>1753762947.319</v>
      </c>
      <c r="J28">
        <f t="shared" si="11"/>
        <v>1685671124.25</v>
      </c>
      <c r="K28">
        <f t="shared" si="11"/>
        <v>1689235629.5946</v>
      </c>
      <c r="L28">
        <f t="shared" si="11"/>
        <v>1981033408.1322773</v>
      </c>
      <c r="M28">
        <f t="shared" si="11"/>
        <v>2193152211.664031</v>
      </c>
      <c r="N28">
        <f t="shared" si="11"/>
        <v>2231437981.3555312</v>
      </c>
      <c r="O28">
        <f t="shared" si="11"/>
        <v>2733054233.9648843</v>
      </c>
      <c r="P28">
        <f t="shared" si="11"/>
        <v>2788883201.7130308</v>
      </c>
      <c r="Q28">
        <f t="shared" si="11"/>
        <v>3025602363.2975316</v>
      </c>
      <c r="R28">
        <f t="shared" si="11"/>
        <v>3083474067.9190307</v>
      </c>
      <c r="S28">
        <f t="shared" si="11"/>
        <v>3384028521.3718843</v>
      </c>
      <c r="T28">
        <f t="shared" si="11"/>
        <v>3559239667.8990307</v>
      </c>
      <c r="U28">
        <f t="shared" si="11"/>
        <v>3530867417.2046003</v>
      </c>
      <c r="V28">
        <f t="shared" si="11"/>
        <v>3550529667.823</v>
      </c>
      <c r="W28">
        <f t="shared" si="11"/>
        <v>4490192387.2210178</v>
      </c>
      <c r="X28">
        <f t="shared" si="11"/>
        <v>4691486442.0205879</v>
      </c>
      <c r="Y28">
        <f t="shared" si="11"/>
        <v>4953746268.1787071</v>
      </c>
      <c r="Z28">
        <f t="shared" si="11"/>
        <v>5250316410.7413425</v>
      </c>
      <c r="AA28">
        <f t="shared" si="11"/>
        <v>5409563768.8014994</v>
      </c>
      <c r="AB28">
        <f t="shared" si="11"/>
        <v>5605750989.7924833</v>
      </c>
      <c r="AC28">
        <f t="shared" si="11"/>
        <v>3434641167.51442</v>
      </c>
      <c r="AD28">
        <f t="shared" si="11"/>
        <v>4148336892.0672469</v>
      </c>
      <c r="AE28">
        <f t="shared" si="11"/>
        <v>4985201607.9281158</v>
      </c>
      <c r="AF28">
        <f t="shared" si="11"/>
        <v>4468810359.1713476</v>
      </c>
      <c r="AG28">
        <f t="shared" si="11"/>
        <v>4210035848.5584717</v>
      </c>
      <c r="AH28">
        <f t="shared" si="11"/>
        <v>4914543632.9560251</v>
      </c>
      <c r="AI28">
        <f t="shared" si="11"/>
        <v>7495954664.4448967</v>
      </c>
      <c r="AJ28">
        <f t="shared" si="11"/>
        <v>9741978206.5847397</v>
      </c>
      <c r="AK28">
        <f t="shared" si="11"/>
        <v>9906486861.3010063</v>
      </c>
      <c r="AL28">
        <f t="shared" si="11"/>
        <v>9437760481.9737473</v>
      </c>
      <c r="AM28">
        <f t="shared" si="11"/>
        <v>9647015293.5183983</v>
      </c>
      <c r="AN28">
        <f t="shared" si="11"/>
        <v>9698536178.8769989</v>
      </c>
    </row>
    <row r="29" spans="1:40" x14ac:dyDescent="0.2">
      <c r="A29" t="s">
        <v>7</v>
      </c>
      <c r="B29" t="s">
        <v>5</v>
      </c>
      <c r="C29">
        <f>C28*20</f>
        <v>34977115996.697479</v>
      </c>
      <c r="D29">
        <f t="shared" ref="D29:AN29" si="12">D28*20</f>
        <v>25645423101.122116</v>
      </c>
      <c r="E29">
        <f t="shared" si="12"/>
        <v>28960100277.394833</v>
      </c>
      <c r="F29">
        <f t="shared" si="12"/>
        <v>25271748469.307713</v>
      </c>
      <c r="G29">
        <f t="shared" si="12"/>
        <v>32468884319.826706</v>
      </c>
      <c r="H29">
        <f t="shared" si="12"/>
        <v>37007180881.68325</v>
      </c>
      <c r="I29">
        <f t="shared" si="12"/>
        <v>35075258946.379997</v>
      </c>
      <c r="J29">
        <f t="shared" si="12"/>
        <v>33713422485</v>
      </c>
      <c r="K29">
        <f t="shared" si="12"/>
        <v>33784712591.891998</v>
      </c>
      <c r="L29">
        <f t="shared" si="12"/>
        <v>39620668162.645546</v>
      </c>
      <c r="M29">
        <f t="shared" si="12"/>
        <v>43863044233.280624</v>
      </c>
      <c r="N29">
        <f t="shared" si="12"/>
        <v>44628759627.110626</v>
      </c>
      <c r="O29">
        <f t="shared" si="12"/>
        <v>54661084679.297684</v>
      </c>
      <c r="P29">
        <f t="shared" si="12"/>
        <v>55777664034.26062</v>
      </c>
      <c r="Q29">
        <f t="shared" si="12"/>
        <v>60512047265.95063</v>
      </c>
      <c r="R29">
        <f t="shared" si="12"/>
        <v>61669481358.380615</v>
      </c>
      <c r="S29">
        <f t="shared" si="12"/>
        <v>67680570427.437683</v>
      </c>
      <c r="T29">
        <f t="shared" si="12"/>
        <v>71184793357.980621</v>
      </c>
      <c r="U29">
        <f t="shared" si="12"/>
        <v>70617348344.09201</v>
      </c>
      <c r="V29">
        <f t="shared" si="12"/>
        <v>71010593356.459991</v>
      </c>
      <c r="W29">
        <f t="shared" si="12"/>
        <v>89803847744.420349</v>
      </c>
      <c r="X29">
        <f t="shared" si="12"/>
        <v>93829728840.411758</v>
      </c>
      <c r="Y29">
        <f t="shared" si="12"/>
        <v>99074925363.574142</v>
      </c>
      <c r="Z29">
        <f t="shared" si="12"/>
        <v>105006328214.82684</v>
      </c>
      <c r="AA29">
        <f t="shared" si="12"/>
        <v>108191275376.02998</v>
      </c>
      <c r="AB29">
        <f t="shared" si="12"/>
        <v>112115019795.84967</v>
      </c>
      <c r="AC29">
        <f t="shared" si="12"/>
        <v>68692823350.288399</v>
      </c>
      <c r="AD29">
        <f t="shared" si="12"/>
        <v>82966737841.34494</v>
      </c>
      <c r="AE29">
        <f t="shared" si="12"/>
        <v>99704032158.562317</v>
      </c>
      <c r="AF29">
        <f t="shared" si="12"/>
        <v>89376207183.426956</v>
      </c>
      <c r="AG29">
        <f t="shared" si="12"/>
        <v>84200716971.169434</v>
      </c>
      <c r="AH29">
        <f t="shared" si="12"/>
        <v>98290872659.120499</v>
      </c>
      <c r="AI29">
        <f t="shared" si="12"/>
        <v>149919093288.89795</v>
      </c>
      <c r="AJ29">
        <f t="shared" si="12"/>
        <v>194839564131.69479</v>
      </c>
      <c r="AK29">
        <f t="shared" si="12"/>
        <v>198129737226.02014</v>
      </c>
      <c r="AL29">
        <f t="shared" si="12"/>
        <v>188755209639.47495</v>
      </c>
      <c r="AM29">
        <f t="shared" si="12"/>
        <v>192940305870.36798</v>
      </c>
      <c r="AN29">
        <f t="shared" si="12"/>
        <v>193970723577.53998</v>
      </c>
    </row>
    <row r="30" spans="1:40" x14ac:dyDescent="0.2">
      <c r="B30" t="s">
        <v>10</v>
      </c>
      <c r="C30">
        <f>C29/C10*100</f>
        <v>1.3046170702207844</v>
      </c>
      <c r="D30">
        <f t="shared" ref="D30:AN30" si="13">D29/D10*100</f>
        <v>1.4958052860413267</v>
      </c>
      <c r="E30">
        <f t="shared" si="13"/>
        <v>1.4234768524578909</v>
      </c>
      <c r="F30">
        <f t="shared" si="13"/>
        <v>1.2776430302939377</v>
      </c>
      <c r="G30">
        <f t="shared" si="13"/>
        <v>1.5889126659481549</v>
      </c>
      <c r="H30">
        <f t="shared" si="13"/>
        <v>1.6815036809501749</v>
      </c>
      <c r="I30">
        <f t="shared" si="13"/>
        <v>1.4913215950117629</v>
      </c>
      <c r="J30">
        <f t="shared" si="13"/>
        <v>1.6307744182600874</v>
      </c>
      <c r="K30">
        <f t="shared" si="13"/>
        <v>1.0795927864926738</v>
      </c>
      <c r="L30">
        <f t="shared" si="13"/>
        <v>1.3844394577714052</v>
      </c>
      <c r="M30">
        <f t="shared" si="13"/>
        <v>1.4200095193378748</v>
      </c>
      <c r="N30">
        <f t="shared" si="13"/>
        <v>1.3304191117747139</v>
      </c>
      <c r="O30">
        <f t="shared" si="13"/>
        <v>1.5468347958052733</v>
      </c>
      <c r="P30">
        <f t="shared" si="13"/>
        <v>1.5353989476705769</v>
      </c>
      <c r="Q30">
        <f t="shared" si="13"/>
        <v>1.6183288324376586</v>
      </c>
      <c r="R30">
        <f t="shared" si="13"/>
        <v>1.6700606443425421</v>
      </c>
      <c r="S30">
        <f t="shared" si="13"/>
        <v>1.7986125313593468</v>
      </c>
      <c r="T30">
        <f t="shared" si="13"/>
        <v>1.8425652792443152</v>
      </c>
      <c r="U30">
        <f t="shared" si="13"/>
        <v>1.6160382705989087</v>
      </c>
      <c r="V30">
        <f t="shared" si="13"/>
        <v>1.6248895847576379</v>
      </c>
      <c r="W30">
        <f t="shared" si="13"/>
        <v>1.7518423059031261</v>
      </c>
      <c r="X30">
        <f t="shared" si="13"/>
        <v>1.7837939310101156</v>
      </c>
      <c r="Y30">
        <f t="shared" si="13"/>
        <v>1.8635949919181245</v>
      </c>
      <c r="Z30">
        <f t="shared" si="13"/>
        <v>1.8811534104270791</v>
      </c>
      <c r="AA30">
        <f t="shared" si="13"/>
        <v>1.8321456633957443</v>
      </c>
      <c r="AB30">
        <f t="shared" si="13"/>
        <v>1.5264872111939465</v>
      </c>
      <c r="AC30">
        <f t="shared" si="13"/>
        <v>0.79407339458421655</v>
      </c>
      <c r="AD30">
        <f t="shared" si="13"/>
        <v>0.79140327883812833</v>
      </c>
      <c r="AE30">
        <f t="shared" si="13"/>
        <v>0.95005166796996354</v>
      </c>
      <c r="AF30">
        <f t="shared" si="13"/>
        <v>0.78859318996183614</v>
      </c>
      <c r="AG30">
        <f t="shared" si="13"/>
        <v>0.64611280517292535</v>
      </c>
      <c r="AH30">
        <f t="shared" si="13"/>
        <v>0.70938842700191229</v>
      </c>
      <c r="AI30">
        <f t="shared" si="13"/>
        <v>1.1361672675975303</v>
      </c>
      <c r="AJ30">
        <f t="shared" si="13"/>
        <v>1.4140327171291025</v>
      </c>
      <c r="AK30">
        <f t="shared" si="13"/>
        <v>1.1928121424939166</v>
      </c>
      <c r="AL30">
        <f t="shared" si="13"/>
        <v>1.1422802010876885</v>
      </c>
      <c r="AM30">
        <f t="shared" si="13"/>
        <v>1.126316409967463</v>
      </c>
      <c r="AN30">
        <f t="shared" si="13"/>
        <v>1.1731200377020721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AN30"/>
  <sheetViews>
    <sheetView topLeftCell="R13" zoomScale="50" workbookViewId="0">
      <selection activeCell="A34" sqref="A34"/>
    </sheetView>
  </sheetViews>
  <sheetFormatPr baseColWidth="10" defaultRowHeight="16" x14ac:dyDescent="0.2"/>
  <cols>
    <col min="1" max="1" width="27.33203125" bestFit="1" customWidth="1"/>
    <col min="2" max="2" width="15.6640625" bestFit="1" customWidth="1"/>
    <col min="3" max="4" width="12.5" bestFit="1" customWidth="1"/>
    <col min="5" max="10" width="12.6640625" bestFit="1" customWidth="1"/>
    <col min="11" max="11" width="12.1640625" bestFit="1" customWidth="1"/>
    <col min="12" max="14" width="12.6640625" bestFit="1" customWidth="1"/>
    <col min="15" max="25" width="13.5" bestFit="1" customWidth="1"/>
    <col min="26" max="40" width="13.33203125" bestFit="1" customWidth="1"/>
  </cols>
  <sheetData>
    <row r="5" spans="1:40" x14ac:dyDescent="0.2">
      <c r="C5">
        <v>1980</v>
      </c>
      <c r="D5">
        <v>1981</v>
      </c>
      <c r="E5">
        <v>1982</v>
      </c>
      <c r="F5">
        <v>1983</v>
      </c>
      <c r="G5">
        <v>1984</v>
      </c>
      <c r="H5">
        <v>1985</v>
      </c>
      <c r="I5">
        <v>1986</v>
      </c>
      <c r="J5">
        <v>1987</v>
      </c>
      <c r="K5">
        <v>1988</v>
      </c>
      <c r="L5">
        <v>1989</v>
      </c>
      <c r="M5">
        <v>1990</v>
      </c>
      <c r="N5">
        <v>1991</v>
      </c>
      <c r="O5">
        <v>1992</v>
      </c>
      <c r="P5">
        <v>1993</v>
      </c>
      <c r="Q5">
        <v>1994</v>
      </c>
      <c r="R5">
        <v>1995</v>
      </c>
      <c r="S5">
        <v>1996</v>
      </c>
      <c r="T5">
        <v>1997</v>
      </c>
      <c r="U5">
        <v>1998</v>
      </c>
      <c r="V5">
        <v>1999</v>
      </c>
      <c r="W5">
        <v>2000</v>
      </c>
      <c r="X5">
        <v>2001</v>
      </c>
      <c r="Y5">
        <v>2002</v>
      </c>
      <c r="Z5">
        <v>2003</v>
      </c>
      <c r="AA5">
        <v>2004</v>
      </c>
      <c r="AB5">
        <v>2005</v>
      </c>
      <c r="AC5">
        <v>2006</v>
      </c>
      <c r="AD5">
        <v>2007</v>
      </c>
      <c r="AE5">
        <v>2008</v>
      </c>
      <c r="AF5">
        <v>2009</v>
      </c>
      <c r="AG5">
        <v>2010</v>
      </c>
      <c r="AH5">
        <v>2011</v>
      </c>
      <c r="AI5">
        <v>2012</v>
      </c>
      <c r="AJ5">
        <v>2013</v>
      </c>
      <c r="AK5">
        <v>2014</v>
      </c>
      <c r="AL5">
        <v>2015</v>
      </c>
      <c r="AM5">
        <v>2016</v>
      </c>
      <c r="AN5">
        <v>2017</v>
      </c>
    </row>
    <row r="6" spans="1:40" x14ac:dyDescent="0.2">
      <c r="A6" t="s">
        <v>0</v>
      </c>
      <c r="B6" t="s">
        <v>1</v>
      </c>
    </row>
    <row r="7" spans="1:40" x14ac:dyDescent="0.2">
      <c r="A7" t="s">
        <v>16</v>
      </c>
    </row>
    <row r="8" spans="1:40" x14ac:dyDescent="0.2">
      <c r="A8" t="s">
        <v>3</v>
      </c>
      <c r="B8" t="s">
        <v>1</v>
      </c>
      <c r="C8">
        <v>1.359836262435</v>
      </c>
      <c r="D8">
        <v>1.4075938584461001</v>
      </c>
      <c r="E8">
        <v>1.3681946111881</v>
      </c>
      <c r="F8">
        <v>1.4880081926068001</v>
      </c>
      <c r="G8">
        <v>1.5326297401722</v>
      </c>
      <c r="H8">
        <v>1.5483607622953</v>
      </c>
      <c r="I8">
        <v>1.5443471745638</v>
      </c>
      <c r="J8">
        <v>1.5735393439508001</v>
      </c>
      <c r="K8">
        <v>1.6022642817541</v>
      </c>
      <c r="L8">
        <v>1.6725242564200999</v>
      </c>
      <c r="M8">
        <v>1.7188942985305999</v>
      </c>
      <c r="N8">
        <v>1.6273185795217999</v>
      </c>
      <c r="O8">
        <v>1.7223141588574</v>
      </c>
      <c r="P8">
        <v>1.7142953002496</v>
      </c>
      <c r="Q8">
        <v>1.6844796450021999</v>
      </c>
      <c r="R8">
        <v>1.7923381720895</v>
      </c>
      <c r="S8">
        <v>1.6945928221958</v>
      </c>
      <c r="T8">
        <v>1.7499069239202001</v>
      </c>
      <c r="U8">
        <v>1.8110819499473001</v>
      </c>
      <c r="V8">
        <v>1.8842007078967</v>
      </c>
      <c r="W8">
        <v>1.9849614842758001</v>
      </c>
      <c r="X8">
        <v>1.8989689710552</v>
      </c>
      <c r="Y8">
        <v>1.9445016836372</v>
      </c>
      <c r="Z8">
        <v>1.8199280082189</v>
      </c>
      <c r="AA8">
        <v>1.8983060466201001</v>
      </c>
      <c r="AB8">
        <v>1.9895735343073</v>
      </c>
      <c r="AC8">
        <v>1.8066378558408001</v>
      </c>
      <c r="AD8">
        <v>1.9739129234682</v>
      </c>
      <c r="AE8">
        <v>1.9409626317123001</v>
      </c>
      <c r="AF8">
        <v>1.9155998214561001</v>
      </c>
      <c r="AG8">
        <v>1.8421769414331</v>
      </c>
      <c r="AH8">
        <v>1.7999341844712999</v>
      </c>
      <c r="AI8">
        <v>1.9188774363251</v>
      </c>
      <c r="AJ8">
        <v>1.8677097059996</v>
      </c>
      <c r="AK8">
        <v>1.9120624508199</v>
      </c>
      <c r="AL8">
        <v>1.9108597988702001</v>
      </c>
      <c r="AM8">
        <v>1.9412968245651001</v>
      </c>
      <c r="AN8">
        <v>1.9013745551884</v>
      </c>
    </row>
    <row r="9" spans="1:40" x14ac:dyDescent="0.2">
      <c r="B9" t="s">
        <v>4</v>
      </c>
      <c r="C9">
        <f>C8*0.000293071*10^15</f>
        <v>398528573268.08789</v>
      </c>
      <c r="D9">
        <f t="shared" ref="D9:AN9" si="0">D8*0.000293071*10^15</f>
        <v>412524939688.65704</v>
      </c>
      <c r="E9">
        <f t="shared" si="0"/>
        <v>400978162895.50763</v>
      </c>
      <c r="F9">
        <f t="shared" si="0"/>
        <v>436092049015.46747</v>
      </c>
      <c r="G9">
        <f t="shared" si="0"/>
        <v>449169330582.00684</v>
      </c>
      <c r="H9">
        <f t="shared" si="0"/>
        <v>453779636966.64587</v>
      </c>
      <c r="I9">
        <f t="shared" si="0"/>
        <v>452603370796.58746</v>
      </c>
      <c r="J9">
        <f t="shared" si="0"/>
        <v>461158749071.00488</v>
      </c>
      <c r="K9">
        <f t="shared" si="0"/>
        <v>469577195317.95581</v>
      </c>
      <c r="L9">
        <f t="shared" si="0"/>
        <v>490168356353.2951</v>
      </c>
      <c r="M9">
        <f t="shared" si="0"/>
        <v>503758070964.66144</v>
      </c>
      <c r="N9">
        <f t="shared" si="0"/>
        <v>476919883419.03345</v>
      </c>
      <c r="O9">
        <f t="shared" si="0"/>
        <v>504760332850.49707</v>
      </c>
      <c r="P9">
        <f t="shared" si="0"/>
        <v>502410237939.4505</v>
      </c>
      <c r="Q9">
        <f t="shared" si="0"/>
        <v>493672134040.43976</v>
      </c>
      <c r="R9">
        <f t="shared" si="0"/>
        <v>525282340432.44183</v>
      </c>
      <c r="S9">
        <f t="shared" si="0"/>
        <v>496636012993.74524</v>
      </c>
      <c r="T9">
        <f t="shared" si="0"/>
        <v>512846972100.21692</v>
      </c>
      <c r="U9">
        <f t="shared" si="0"/>
        <v>530775598153.00513</v>
      </c>
      <c r="V9">
        <f t="shared" si="0"/>
        <v>552204585663.99377</v>
      </c>
      <c r="W9">
        <f t="shared" si="0"/>
        <v>581734647158.19299</v>
      </c>
      <c r="X9">
        <f t="shared" si="0"/>
        <v>556532735316.11853</v>
      </c>
      <c r="Y9">
        <f t="shared" si="0"/>
        <v>569877052925.23792</v>
      </c>
      <c r="Z9">
        <f t="shared" si="0"/>
        <v>533368121296.72125</v>
      </c>
      <c r="AA9">
        <f t="shared" si="0"/>
        <v>556338451388.99939</v>
      </c>
      <c r="AB9">
        <f t="shared" si="0"/>
        <v>583086305272.97473</v>
      </c>
      <c r="AC9">
        <f t="shared" si="0"/>
        <v>529473163049.11914</v>
      </c>
      <c r="AD9">
        <f t="shared" si="0"/>
        <v>578496634393.7489</v>
      </c>
      <c r="AE9">
        <f t="shared" si="0"/>
        <v>568839859438.55554</v>
      </c>
      <c r="AF9">
        <f t="shared" si="0"/>
        <v>561406755273.96069</v>
      </c>
      <c r="AG9">
        <f t="shared" si="0"/>
        <v>539888638402.74005</v>
      </c>
      <c r="AH9">
        <f t="shared" si="0"/>
        <v>527508511377.18829</v>
      </c>
      <c r="AI9">
        <f t="shared" si="0"/>
        <v>562367329141.2334</v>
      </c>
      <c r="AJ9">
        <f t="shared" si="0"/>
        <v>547371551247.00873</v>
      </c>
      <c r="AK9">
        <f t="shared" si="0"/>
        <v>560370054524.23889</v>
      </c>
      <c r="AL9">
        <f t="shared" si="0"/>
        <v>560017592114.68848</v>
      </c>
      <c r="AM9">
        <f t="shared" si="0"/>
        <v>568937801672.11853</v>
      </c>
      <c r="AN9">
        <f t="shared" si="0"/>
        <v>557237742263.61963</v>
      </c>
    </row>
    <row r="10" spans="1:40" x14ac:dyDescent="0.2">
      <c r="B10" t="s">
        <v>5</v>
      </c>
      <c r="C10">
        <f>C14+C19+C24+C29</f>
        <v>124770896395836.8</v>
      </c>
      <c r="D10">
        <f t="shared" ref="D10:AN10" si="1">D14+D19+D24+D29</f>
        <v>116502018635124.03</v>
      </c>
      <c r="E10">
        <f t="shared" si="1"/>
        <v>107558417621324.31</v>
      </c>
      <c r="F10">
        <f t="shared" si="1"/>
        <v>107630054022816.3</v>
      </c>
      <c r="G10">
        <f t="shared" si="1"/>
        <v>115758902447352.72</v>
      </c>
      <c r="H10">
        <f t="shared" si="1"/>
        <v>120580111923225.12</v>
      </c>
      <c r="I10">
        <f t="shared" si="1"/>
        <v>128004112284848.67</v>
      </c>
      <c r="J10">
        <f t="shared" si="1"/>
        <v>124691539308376.09</v>
      </c>
      <c r="K10">
        <f t="shared" si="1"/>
        <v>122259443312500.62</v>
      </c>
      <c r="L10">
        <f t="shared" si="1"/>
        <v>118596772737131.67</v>
      </c>
      <c r="M10">
        <f t="shared" si="1"/>
        <v>124848042272859.03</v>
      </c>
      <c r="N10">
        <f t="shared" si="1"/>
        <v>118182580072298.98</v>
      </c>
      <c r="O10">
        <f t="shared" si="1"/>
        <v>125294348584083.61</v>
      </c>
      <c r="P10">
        <f t="shared" si="1"/>
        <v>123412073078908.45</v>
      </c>
      <c r="Q10">
        <f t="shared" si="1"/>
        <v>127342990496450.89</v>
      </c>
      <c r="R10">
        <f t="shared" si="1"/>
        <v>133773820017352.09</v>
      </c>
      <c r="S10">
        <f t="shared" si="1"/>
        <v>139118000073280.19</v>
      </c>
      <c r="T10">
        <f t="shared" si="1"/>
        <v>142710528936746.09</v>
      </c>
      <c r="U10">
        <f t="shared" si="1"/>
        <v>144209905940896.59</v>
      </c>
      <c r="V10">
        <f t="shared" si="1"/>
        <v>147908646333497.44</v>
      </c>
      <c r="W10">
        <f t="shared" si="1"/>
        <v>140099302877567.27</v>
      </c>
      <c r="X10">
        <f t="shared" si="1"/>
        <v>145944651948114.41</v>
      </c>
      <c r="Y10">
        <f t="shared" si="1"/>
        <v>147457532507484.59</v>
      </c>
      <c r="Z10">
        <f t="shared" si="1"/>
        <v>156266974589180.16</v>
      </c>
      <c r="AA10">
        <f t="shared" si="1"/>
        <v>158543627826416.72</v>
      </c>
      <c r="AB10">
        <f t="shared" si="1"/>
        <v>150086237269033.78</v>
      </c>
      <c r="AC10">
        <f t="shared" si="1"/>
        <v>144906526355208.53</v>
      </c>
      <c r="AD10">
        <f t="shared" si="1"/>
        <v>156421706250102.94</v>
      </c>
      <c r="AE10">
        <f t="shared" si="1"/>
        <v>144242373943392.62</v>
      </c>
      <c r="AF10">
        <f t="shared" si="1"/>
        <v>155288690488046.25</v>
      </c>
      <c r="AG10">
        <f t="shared" si="1"/>
        <v>145482044067067.56</v>
      </c>
      <c r="AH10">
        <f t="shared" si="1"/>
        <v>140626058539505.53</v>
      </c>
      <c r="AI10">
        <f t="shared" si="1"/>
        <v>139335014786130.56</v>
      </c>
      <c r="AJ10">
        <f t="shared" si="1"/>
        <v>141986187240510.22</v>
      </c>
      <c r="AK10">
        <f t="shared" si="1"/>
        <v>141478380858658.62</v>
      </c>
      <c r="AL10">
        <f t="shared" si="1"/>
        <v>145597689057754.34</v>
      </c>
      <c r="AM10">
        <f t="shared" si="1"/>
        <v>146690545141304.78</v>
      </c>
      <c r="AN10">
        <f t="shared" si="1"/>
        <v>142432175747926.19</v>
      </c>
    </row>
    <row r="12" spans="1:40" x14ac:dyDescent="0.2">
      <c r="A12" t="s">
        <v>11</v>
      </c>
      <c r="B12" t="s">
        <v>1</v>
      </c>
      <c r="C12">
        <v>2.6036754713371E-2</v>
      </c>
      <c r="D12">
        <v>2.7463795044092999E-2</v>
      </c>
      <c r="E12">
        <v>2.7490720333351999E-2</v>
      </c>
      <c r="F12">
        <v>2.7813823804459001E-2</v>
      </c>
      <c r="G12">
        <v>2.9483191738512E-2</v>
      </c>
      <c r="H12">
        <v>2.9725519341842001E-2</v>
      </c>
      <c r="I12">
        <v>2.7867674382976999E-2</v>
      </c>
      <c r="J12">
        <v>2.8136927275566E-2</v>
      </c>
      <c r="K12">
        <v>2.7221467440763002E-2</v>
      </c>
      <c r="L12">
        <v>2.1351754382319999E-2</v>
      </c>
      <c r="M12">
        <v>2.0867099175659001E-2</v>
      </c>
      <c r="N12">
        <v>1.8255346117544001E-2</v>
      </c>
      <c r="O12">
        <v>1.8497673720875001E-2</v>
      </c>
      <c r="P12">
        <v>2.0543995704551999E-2</v>
      </c>
      <c r="Q12">
        <v>2.3721179837103999E-2</v>
      </c>
      <c r="R12">
        <v>2.6279082316701001E-2</v>
      </c>
      <c r="S12">
        <v>2.5794427110040999E-2</v>
      </c>
      <c r="T12">
        <v>2.5390547771156999E-2</v>
      </c>
      <c r="U12">
        <v>2.8029226118529999E-2</v>
      </c>
      <c r="V12">
        <v>2.7006065126692E-2</v>
      </c>
      <c r="W12">
        <v>2.6629111077066999E-2</v>
      </c>
      <c r="X12">
        <v>2.3667329258586001E-2</v>
      </c>
      <c r="Y12">
        <v>2.1055576200471E-2</v>
      </c>
      <c r="Z12">
        <v>2.035551867974E-2</v>
      </c>
      <c r="AA12">
        <v>2.2751869423782999E-2</v>
      </c>
      <c r="AB12">
        <v>1.9359282977160001E-2</v>
      </c>
      <c r="AC12">
        <v>1.6612903472751E-2</v>
      </c>
      <c r="AD12">
        <v>1.8174570249767999E-2</v>
      </c>
      <c r="AE12">
        <v>1.8766926613464002E-2</v>
      </c>
      <c r="AF12">
        <v>1.4108851571671001E-2</v>
      </c>
      <c r="AG12">
        <v>1.8309196696062E-2</v>
      </c>
      <c r="AH12">
        <v>1.9197731241606002E-2</v>
      </c>
      <c r="AI12">
        <v>2.0059340497892E-2</v>
      </c>
      <c r="AJ12">
        <v>2.0867099175659001E-2</v>
      </c>
      <c r="AK12">
        <v>2.2056603053942001E-2</v>
      </c>
      <c r="AL12">
        <v>2.0079544477421999E-2</v>
      </c>
      <c r="AM12">
        <v>2.0059353824374002E-2</v>
      </c>
      <c r="AN12">
        <v>2.2312035047814999E-2</v>
      </c>
    </row>
    <row r="13" spans="1:40" x14ac:dyDescent="0.2">
      <c r="B13" t="s">
        <v>4</v>
      </c>
      <c r="C13">
        <f>C12*0.000293071*10^15</f>
        <v>7630617740.6023521</v>
      </c>
      <c r="D13">
        <f t="shared" ref="D13:AN13" si="2">D12*0.000293071*10^15</f>
        <v>8048841877.3673792</v>
      </c>
      <c r="E13">
        <f t="shared" si="2"/>
        <v>8056732898.8158026</v>
      </c>
      <c r="F13">
        <f t="shared" si="2"/>
        <v>8151425156.1966038</v>
      </c>
      <c r="G13">
        <f t="shared" si="2"/>
        <v>8640668485.9974499</v>
      </c>
      <c r="H13">
        <f t="shared" si="2"/>
        <v>8711687679.0329781</v>
      </c>
      <c r="I13">
        <f t="shared" si="2"/>
        <v>8167207199.0934525</v>
      </c>
      <c r="J13">
        <f t="shared" si="2"/>
        <v>8246117413.5774031</v>
      </c>
      <c r="K13">
        <f t="shared" si="2"/>
        <v>7977822684.3318539</v>
      </c>
      <c r="L13">
        <f t="shared" si="2"/>
        <v>6257580008.580905</v>
      </c>
      <c r="M13">
        <f t="shared" si="2"/>
        <v>6115541622.5095596</v>
      </c>
      <c r="N13">
        <f t="shared" si="2"/>
        <v>5350112542.0147381</v>
      </c>
      <c r="O13">
        <f t="shared" si="2"/>
        <v>5421131735.0505581</v>
      </c>
      <c r="P13">
        <f t="shared" si="2"/>
        <v>6020849365.1287584</v>
      </c>
      <c r="Q13">
        <f t="shared" si="2"/>
        <v>6951989896.0399065</v>
      </c>
      <c r="R13">
        <f t="shared" si="2"/>
        <v>7701636933.6378794</v>
      </c>
      <c r="S13">
        <f t="shared" si="2"/>
        <v>7559598547.5668259</v>
      </c>
      <c r="T13">
        <f t="shared" si="2"/>
        <v>7441233225.8407526</v>
      </c>
      <c r="U13">
        <f t="shared" si="2"/>
        <v>8214553327.7837057</v>
      </c>
      <c r="V13">
        <f t="shared" si="2"/>
        <v>7914694512.744751</v>
      </c>
      <c r="W13">
        <f t="shared" si="2"/>
        <v>7804220212.4671021</v>
      </c>
      <c r="X13">
        <f t="shared" si="2"/>
        <v>6936207853.1430578</v>
      </c>
      <c r="Y13">
        <f t="shared" si="2"/>
        <v>6170778772.6482372</v>
      </c>
      <c r="Z13">
        <f t="shared" si="2"/>
        <v>5965612214.9900808</v>
      </c>
      <c r="AA13">
        <f t="shared" si="2"/>
        <v>6667913123.8975077</v>
      </c>
      <c r="AB13">
        <f t="shared" si="2"/>
        <v>5673644421.3992586</v>
      </c>
      <c r="AC13">
        <f t="shared" si="2"/>
        <v>4868760233.6626081</v>
      </c>
      <c r="AD13">
        <f t="shared" si="2"/>
        <v>5326439477.6697569</v>
      </c>
      <c r="AE13">
        <f t="shared" si="2"/>
        <v>5500041949.5345087</v>
      </c>
      <c r="AF13">
        <f t="shared" si="2"/>
        <v>4134895238.9611917</v>
      </c>
      <c r="AG13">
        <f t="shared" si="2"/>
        <v>5365894584.9115868</v>
      </c>
      <c r="AH13">
        <f t="shared" si="2"/>
        <v>5626298292.7087126</v>
      </c>
      <c r="AI13">
        <f t="shared" si="2"/>
        <v>5878810979.0577059</v>
      </c>
      <c r="AJ13">
        <f t="shared" si="2"/>
        <v>6115541622.5095596</v>
      </c>
      <c r="AK13">
        <f t="shared" si="2"/>
        <v>6464150713.6218357</v>
      </c>
      <c r="AL13">
        <f t="shared" si="2"/>
        <v>5884732179.5425425</v>
      </c>
      <c r="AM13">
        <f t="shared" si="2"/>
        <v>5878814884.6631126</v>
      </c>
      <c r="AN13">
        <f t="shared" si="2"/>
        <v>6539010423.4981899</v>
      </c>
    </row>
    <row r="14" spans="1:40" x14ac:dyDescent="0.2">
      <c r="A14" t="s">
        <v>9</v>
      </c>
      <c r="B14" t="s">
        <v>5</v>
      </c>
      <c r="C14">
        <f>C13*950</f>
        <v>7249086853572.2344</v>
      </c>
      <c r="D14">
        <f t="shared" ref="D14:AN14" si="3">D13*950</f>
        <v>7646399783499.0098</v>
      </c>
      <c r="E14">
        <f t="shared" si="3"/>
        <v>7653896253875.0127</v>
      </c>
      <c r="F14">
        <f t="shared" si="3"/>
        <v>7743853898386.7734</v>
      </c>
      <c r="G14">
        <f t="shared" si="3"/>
        <v>8208635061697.5771</v>
      </c>
      <c r="H14">
        <f t="shared" si="3"/>
        <v>8276103295081.3291</v>
      </c>
      <c r="I14">
        <f t="shared" si="3"/>
        <v>7758846839138.7803</v>
      </c>
      <c r="J14">
        <f t="shared" si="3"/>
        <v>7833811542898.5332</v>
      </c>
      <c r="K14">
        <f t="shared" si="3"/>
        <v>7578931550115.2607</v>
      </c>
      <c r="L14">
        <f t="shared" si="3"/>
        <v>5944701008151.8594</v>
      </c>
      <c r="M14">
        <f t="shared" si="3"/>
        <v>5809764541384.082</v>
      </c>
      <c r="N14">
        <f t="shared" si="3"/>
        <v>5082606914914.001</v>
      </c>
      <c r="O14">
        <f t="shared" si="3"/>
        <v>5150075148298.0303</v>
      </c>
      <c r="P14">
        <f t="shared" si="3"/>
        <v>5719806896872.3203</v>
      </c>
      <c r="Q14">
        <f t="shared" si="3"/>
        <v>6604390401237.9111</v>
      </c>
      <c r="R14">
        <f t="shared" si="3"/>
        <v>7316555086955.9854</v>
      </c>
      <c r="S14">
        <f t="shared" si="3"/>
        <v>7181618620188.4844</v>
      </c>
      <c r="T14">
        <f t="shared" si="3"/>
        <v>7069171564548.7148</v>
      </c>
      <c r="U14">
        <f t="shared" si="3"/>
        <v>7803825661394.5205</v>
      </c>
      <c r="V14">
        <f t="shared" si="3"/>
        <v>7518959787107.5137</v>
      </c>
      <c r="W14">
        <f t="shared" si="3"/>
        <v>7414009201843.7471</v>
      </c>
      <c r="X14">
        <f t="shared" si="3"/>
        <v>6589397460485.9053</v>
      </c>
      <c r="Y14">
        <f t="shared" si="3"/>
        <v>5862239834015.8252</v>
      </c>
      <c r="Z14">
        <f t="shared" si="3"/>
        <v>5667331604240.5771</v>
      </c>
      <c r="AA14">
        <f t="shared" si="3"/>
        <v>6334517467702.6318</v>
      </c>
      <c r="AB14">
        <f t="shared" si="3"/>
        <v>5389962200329.2959</v>
      </c>
      <c r="AC14">
        <f t="shared" si="3"/>
        <v>4625322221979.4775</v>
      </c>
      <c r="AD14">
        <f t="shared" si="3"/>
        <v>5060117503786.2695</v>
      </c>
      <c r="AE14">
        <f t="shared" si="3"/>
        <v>5225039852057.7832</v>
      </c>
      <c r="AF14">
        <f t="shared" si="3"/>
        <v>3928150477013.1318</v>
      </c>
      <c r="AG14">
        <f t="shared" si="3"/>
        <v>5097599855666.0078</v>
      </c>
      <c r="AH14">
        <f t="shared" si="3"/>
        <v>5344983378073.2773</v>
      </c>
      <c r="AI14">
        <f t="shared" si="3"/>
        <v>5584870430104.8203</v>
      </c>
      <c r="AJ14">
        <f t="shared" si="3"/>
        <v>5809764541384.082</v>
      </c>
      <c r="AK14">
        <f t="shared" si="3"/>
        <v>6140943177940.7441</v>
      </c>
      <c r="AL14">
        <f t="shared" si="3"/>
        <v>5590495570565.415</v>
      </c>
      <c r="AM14">
        <f t="shared" si="3"/>
        <v>5584874140429.957</v>
      </c>
      <c r="AN14">
        <f t="shared" si="3"/>
        <v>6212059902323.2803</v>
      </c>
    </row>
    <row r="15" spans="1:40" x14ac:dyDescent="0.2">
      <c r="B15" t="s">
        <v>10</v>
      </c>
      <c r="C15">
        <f>C14/C10*100</f>
        <v>5.8099180682123501</v>
      </c>
      <c r="D15">
        <f t="shared" ref="D15:AN15" si="4">D14/D10*100</f>
        <v>6.5633195656866565</v>
      </c>
      <c r="E15">
        <f t="shared" si="4"/>
        <v>7.1160364973215886</v>
      </c>
      <c r="F15">
        <f t="shared" si="4"/>
        <v>7.1948806201891982</v>
      </c>
      <c r="G15">
        <f t="shared" si="4"/>
        <v>7.0911479706114822</v>
      </c>
      <c r="H15">
        <f t="shared" si="4"/>
        <v>6.8635724109717442</v>
      </c>
      <c r="I15">
        <f t="shared" si="4"/>
        <v>6.0614043569732745</v>
      </c>
      <c r="J15">
        <f t="shared" si="4"/>
        <v>6.2825525984763431</v>
      </c>
      <c r="K15">
        <f t="shared" si="4"/>
        <v>6.1990561585849626</v>
      </c>
      <c r="L15">
        <f t="shared" si="4"/>
        <v>5.0125318513752637</v>
      </c>
      <c r="M15">
        <f t="shared" si="4"/>
        <v>4.6534686772954537</v>
      </c>
      <c r="N15">
        <f t="shared" si="4"/>
        <v>4.3006396643267406</v>
      </c>
      <c r="O15">
        <f t="shared" si="4"/>
        <v>4.1103810399252554</v>
      </c>
      <c r="P15">
        <f t="shared" si="4"/>
        <v>4.6347223202507362</v>
      </c>
      <c r="Q15">
        <f t="shared" si="4"/>
        <v>5.1863006950680797</v>
      </c>
      <c r="R15">
        <f t="shared" si="4"/>
        <v>5.4693475046215614</v>
      </c>
      <c r="S15">
        <f t="shared" si="4"/>
        <v>5.1622497566135062</v>
      </c>
      <c r="T15">
        <f t="shared" si="4"/>
        <v>4.9535038635320303</v>
      </c>
      <c r="U15">
        <f t="shared" si="4"/>
        <v>5.4114352342708436</v>
      </c>
      <c r="V15">
        <f t="shared" si="4"/>
        <v>5.0835160577118108</v>
      </c>
      <c r="W15">
        <f t="shared" si="4"/>
        <v>5.2919672329296654</v>
      </c>
      <c r="X15">
        <f t="shared" si="4"/>
        <v>4.5149975504607998</v>
      </c>
      <c r="Y15">
        <f t="shared" si="4"/>
        <v>3.9755445071741398</v>
      </c>
      <c r="Z15">
        <f t="shared" si="4"/>
        <v>3.626698231753557</v>
      </c>
      <c r="AA15">
        <f t="shared" si="4"/>
        <v>3.995441226208126</v>
      </c>
      <c r="AB15">
        <f t="shared" si="4"/>
        <v>3.5912434733556799</v>
      </c>
      <c r="AC15">
        <f t="shared" si="4"/>
        <v>3.1919350620837132</v>
      </c>
      <c r="AD15">
        <f t="shared" si="4"/>
        <v>3.2349202838227828</v>
      </c>
      <c r="AE15">
        <f t="shared" si="4"/>
        <v>3.622402841281807</v>
      </c>
      <c r="AF15">
        <f t="shared" si="4"/>
        <v>2.5295792402316066</v>
      </c>
      <c r="AG15">
        <f t="shared" si="4"/>
        <v>3.5039374710160125</v>
      </c>
      <c r="AH15">
        <f t="shared" si="4"/>
        <v>3.8008484583756803</v>
      </c>
      <c r="AI15">
        <f t="shared" si="4"/>
        <v>4.0082318422811403</v>
      </c>
      <c r="AJ15">
        <f t="shared" si="4"/>
        <v>4.0917814995221544</v>
      </c>
      <c r="AK15">
        <f t="shared" si="4"/>
        <v>4.3405523449379455</v>
      </c>
      <c r="AL15">
        <f t="shared" si="4"/>
        <v>3.8396870216448482</v>
      </c>
      <c r="AM15">
        <f t="shared" si="4"/>
        <v>3.8072488823667072</v>
      </c>
      <c r="AN15">
        <f t="shared" si="4"/>
        <v>4.3614161404915048</v>
      </c>
    </row>
    <row r="17" spans="1:40" x14ac:dyDescent="0.2">
      <c r="A17" t="s">
        <v>12</v>
      </c>
      <c r="B17" t="s">
        <v>1</v>
      </c>
      <c r="C17">
        <v>3.8324999999999998E-2</v>
      </c>
      <c r="D17">
        <v>3.7400000000000003E-2</v>
      </c>
      <c r="E17">
        <v>4.2197999999999999E-2</v>
      </c>
      <c r="F17">
        <v>4.9771999999999997E-2</v>
      </c>
      <c r="G17">
        <v>4.4157000000000002E-2</v>
      </c>
      <c r="H17">
        <v>5.1464999999999997E-2</v>
      </c>
      <c r="I17">
        <v>9.3785999999999994E-2</v>
      </c>
      <c r="J17">
        <v>6.5040000000000001E-2</v>
      </c>
      <c r="K17">
        <v>7.5950000000000004E-2</v>
      </c>
      <c r="L17">
        <v>7.9204999999999998E-2</v>
      </c>
      <c r="M17">
        <v>8.7279999999999996E-2</v>
      </c>
      <c r="N17">
        <v>8.4863999999999995E-2</v>
      </c>
      <c r="O17">
        <v>0.14274019291000001</v>
      </c>
      <c r="P17">
        <v>9.8964949999999996E-2</v>
      </c>
      <c r="Q17">
        <v>0.10337544</v>
      </c>
      <c r="R17">
        <v>0.1137147</v>
      </c>
      <c r="S17">
        <v>0.113269331</v>
      </c>
      <c r="T17">
        <v>0.14178195569999999</v>
      </c>
      <c r="U17">
        <v>0.13794039</v>
      </c>
      <c r="V17">
        <v>0.1677455437</v>
      </c>
      <c r="W17">
        <v>0.1519773962</v>
      </c>
      <c r="X17">
        <v>0.1755007177</v>
      </c>
      <c r="Y17">
        <v>0.20519427600000001</v>
      </c>
      <c r="Z17">
        <v>0.23923546395</v>
      </c>
      <c r="AA17">
        <v>0.30389369745</v>
      </c>
      <c r="AB17">
        <v>0.20102004300000001</v>
      </c>
      <c r="AC17">
        <v>0.12772022899999999</v>
      </c>
      <c r="AD17">
        <v>0.16623829949999999</v>
      </c>
      <c r="AE17">
        <v>0.13100734920000001</v>
      </c>
      <c r="AF17">
        <v>0.24559640175</v>
      </c>
      <c r="AG17">
        <v>0.20714165861056</v>
      </c>
      <c r="AH17">
        <v>0.17114586295138001</v>
      </c>
      <c r="AI17">
        <v>0.16206615486684001</v>
      </c>
      <c r="AJ17">
        <v>0.19222078475974</v>
      </c>
      <c r="AK17">
        <v>0.21835999431333999</v>
      </c>
      <c r="AL17">
        <v>0.19455738792532001</v>
      </c>
      <c r="AM17">
        <v>0.1859641996226</v>
      </c>
      <c r="AN17">
        <v>0.15107064712066001</v>
      </c>
    </row>
    <row r="18" spans="1:40" x14ac:dyDescent="0.2">
      <c r="B18" t="s">
        <v>4</v>
      </c>
      <c r="C18">
        <f>C17*0.000293071*10^15</f>
        <v>11231946075</v>
      </c>
      <c r="D18">
        <f t="shared" ref="D18:AN18" si="5">D17*0.000293071*10^15</f>
        <v>10960855400</v>
      </c>
      <c r="E18">
        <f t="shared" si="5"/>
        <v>12367010058</v>
      </c>
      <c r="F18">
        <f t="shared" si="5"/>
        <v>14586729812</v>
      </c>
      <c r="G18">
        <f t="shared" si="5"/>
        <v>12941136147</v>
      </c>
      <c r="H18">
        <f t="shared" si="5"/>
        <v>15082899015</v>
      </c>
      <c r="I18">
        <f t="shared" si="5"/>
        <v>27485956806</v>
      </c>
      <c r="J18">
        <f t="shared" si="5"/>
        <v>19061337840</v>
      </c>
      <c r="K18">
        <f t="shared" si="5"/>
        <v>22258742450</v>
      </c>
      <c r="L18">
        <f t="shared" si="5"/>
        <v>23212688554.999996</v>
      </c>
      <c r="M18">
        <f t="shared" si="5"/>
        <v>25579236880</v>
      </c>
      <c r="N18">
        <f t="shared" si="5"/>
        <v>24871177344</v>
      </c>
      <c r="O18">
        <f t="shared" si="5"/>
        <v>41833011076.326614</v>
      </c>
      <c r="P18">
        <f t="shared" si="5"/>
        <v>29003756861.449997</v>
      </c>
      <c r="Q18">
        <f t="shared" si="5"/>
        <v>30296343576.240002</v>
      </c>
      <c r="R18">
        <f t="shared" si="5"/>
        <v>33326480843.700001</v>
      </c>
      <c r="S18">
        <f t="shared" si="5"/>
        <v>33195956105.500999</v>
      </c>
      <c r="T18">
        <f t="shared" si="5"/>
        <v>41552179538.954697</v>
      </c>
      <c r="U18">
        <f t="shared" si="5"/>
        <v>40426328037.689995</v>
      </c>
      <c r="V18">
        <f t="shared" si="5"/>
        <v>49161354237.702698</v>
      </c>
      <c r="W18">
        <f t="shared" si="5"/>
        <v>44540167481.730202</v>
      </c>
      <c r="X18">
        <f t="shared" si="5"/>
        <v>51434170837.056702</v>
      </c>
      <c r="Y18">
        <f t="shared" si="5"/>
        <v>60136491661.596001</v>
      </c>
      <c r="Z18">
        <f t="shared" si="5"/>
        <v>70112976655.290451</v>
      </c>
      <c r="AA18">
        <f t="shared" si="5"/>
        <v>89062429805.368942</v>
      </c>
      <c r="AB18">
        <f t="shared" si="5"/>
        <v>58913145022.053001</v>
      </c>
      <c r="AC18">
        <f t="shared" si="5"/>
        <v>37431095233.258995</v>
      </c>
      <c r="AD18">
        <f t="shared" si="5"/>
        <v>48719624672.764496</v>
      </c>
      <c r="AE18">
        <f t="shared" si="5"/>
        <v>38394454837.393204</v>
      </c>
      <c r="AF18">
        <f t="shared" si="5"/>
        <v>71977183057.274246</v>
      </c>
      <c r="AG18">
        <f t="shared" si="5"/>
        <v>60707213030.655426</v>
      </c>
      <c r="AH18">
        <f t="shared" si="5"/>
        <v>50157889201.023888</v>
      </c>
      <c r="AI18">
        <f t="shared" si="5"/>
        <v>47496890072.979668</v>
      </c>
      <c r="AJ18">
        <f t="shared" si="5"/>
        <v>56334337610.321762</v>
      </c>
      <c r="AK18">
        <f t="shared" si="5"/>
        <v>63994981893.404861</v>
      </c>
      <c r="AL18">
        <f t="shared" si="5"/>
        <v>57019128236.661461</v>
      </c>
      <c r="AM18">
        <f t="shared" si="5"/>
        <v>54500713947.595001</v>
      </c>
      <c r="AN18">
        <f t="shared" si="5"/>
        <v>44274425622.29895</v>
      </c>
    </row>
    <row r="19" spans="1:40" x14ac:dyDescent="0.2">
      <c r="A19" t="s">
        <v>8</v>
      </c>
      <c r="B19" t="s">
        <v>5</v>
      </c>
      <c r="C19">
        <f>C18*390</f>
        <v>4380458969250</v>
      </c>
      <c r="D19">
        <f t="shared" ref="D19:AN19" si="6">D18*390</f>
        <v>4274733606000</v>
      </c>
      <c r="E19">
        <f t="shared" si="6"/>
        <v>4823133922620</v>
      </c>
      <c r="F19">
        <f t="shared" si="6"/>
        <v>5688824626680</v>
      </c>
      <c r="G19">
        <f t="shared" si="6"/>
        <v>5047043097330</v>
      </c>
      <c r="H19">
        <f t="shared" si="6"/>
        <v>5882330615850</v>
      </c>
      <c r="I19">
        <f t="shared" si="6"/>
        <v>10719523154340</v>
      </c>
      <c r="J19">
        <f t="shared" si="6"/>
        <v>7433921757600</v>
      </c>
      <c r="K19">
        <f t="shared" si="6"/>
        <v>8680909555500</v>
      </c>
      <c r="L19">
        <f t="shared" si="6"/>
        <v>9052948536449.998</v>
      </c>
      <c r="M19">
        <f t="shared" si="6"/>
        <v>9975902383200</v>
      </c>
      <c r="N19">
        <f t="shared" si="6"/>
        <v>9699759164160</v>
      </c>
      <c r="O19">
        <f t="shared" si="6"/>
        <v>16314874319767.379</v>
      </c>
      <c r="P19">
        <f t="shared" si="6"/>
        <v>11311465175965.498</v>
      </c>
      <c r="Q19">
        <f t="shared" si="6"/>
        <v>11815573994733.602</v>
      </c>
      <c r="R19">
        <f t="shared" si="6"/>
        <v>12997327529043</v>
      </c>
      <c r="S19">
        <f t="shared" si="6"/>
        <v>12946422881145.391</v>
      </c>
      <c r="T19">
        <f t="shared" si="6"/>
        <v>16205350020192.332</v>
      </c>
      <c r="U19">
        <f t="shared" si="6"/>
        <v>15766267934699.098</v>
      </c>
      <c r="V19">
        <f t="shared" si="6"/>
        <v>19172928152704.051</v>
      </c>
      <c r="W19">
        <f t="shared" si="6"/>
        <v>17370665317874.779</v>
      </c>
      <c r="X19">
        <f t="shared" si="6"/>
        <v>20059326626452.113</v>
      </c>
      <c r="Y19">
        <f t="shared" si="6"/>
        <v>23453231748022.441</v>
      </c>
      <c r="Z19">
        <f t="shared" si="6"/>
        <v>27344060895563.277</v>
      </c>
      <c r="AA19">
        <f t="shared" si="6"/>
        <v>34734347624093.887</v>
      </c>
      <c r="AB19">
        <f t="shared" si="6"/>
        <v>22976126558600.672</v>
      </c>
      <c r="AC19">
        <f t="shared" si="6"/>
        <v>14598127140971.008</v>
      </c>
      <c r="AD19">
        <f t="shared" si="6"/>
        <v>19000653622378.152</v>
      </c>
      <c r="AE19">
        <f t="shared" si="6"/>
        <v>14973837386583.35</v>
      </c>
      <c r="AF19">
        <f t="shared" si="6"/>
        <v>28071101392336.957</v>
      </c>
      <c r="AG19">
        <f t="shared" si="6"/>
        <v>23675813081955.617</v>
      </c>
      <c r="AH19">
        <f t="shared" si="6"/>
        <v>19561576788399.316</v>
      </c>
      <c r="AI19">
        <f t="shared" si="6"/>
        <v>18523787128462.07</v>
      </c>
      <c r="AJ19">
        <f t="shared" si="6"/>
        <v>21970391668025.488</v>
      </c>
      <c r="AK19">
        <f t="shared" si="6"/>
        <v>24958042938427.895</v>
      </c>
      <c r="AL19">
        <f t="shared" si="6"/>
        <v>22237460012297.969</v>
      </c>
      <c r="AM19">
        <f t="shared" si="6"/>
        <v>21255278439562.051</v>
      </c>
      <c r="AN19">
        <f t="shared" si="6"/>
        <v>17267025992696.59</v>
      </c>
    </row>
    <row r="20" spans="1:40" x14ac:dyDescent="0.2">
      <c r="B20" t="s">
        <v>10</v>
      </c>
      <c r="C20">
        <f>C19/C10*100</f>
        <v>3.5108018743032465</v>
      </c>
      <c r="D20">
        <f t="shared" ref="D20:AN20" si="7">D19/D10*100</f>
        <v>3.6692356545238578</v>
      </c>
      <c r="E20">
        <f t="shared" si="7"/>
        <v>4.4841994046440634</v>
      </c>
      <c r="F20">
        <f t="shared" si="7"/>
        <v>5.2855354188283101</v>
      </c>
      <c r="G20">
        <f t="shared" si="7"/>
        <v>4.3599610834470388</v>
      </c>
      <c r="H20">
        <f t="shared" si="7"/>
        <v>4.8783588952010213</v>
      </c>
      <c r="I20">
        <f t="shared" si="7"/>
        <v>8.374358419427768</v>
      </c>
      <c r="J20">
        <f t="shared" si="7"/>
        <v>5.9618493755338777</v>
      </c>
      <c r="K20">
        <f t="shared" si="7"/>
        <v>7.1004000347942089</v>
      </c>
      <c r="L20">
        <f t="shared" si="7"/>
        <v>7.6333852325946081</v>
      </c>
      <c r="M20">
        <f t="shared" si="7"/>
        <v>7.9904355739895188</v>
      </c>
      <c r="N20">
        <f t="shared" si="7"/>
        <v>8.2074356121063765</v>
      </c>
      <c r="O20">
        <f t="shared" si="7"/>
        <v>13.021237193965419</v>
      </c>
      <c r="P20">
        <f t="shared" si="7"/>
        <v>9.1656066491428749</v>
      </c>
      <c r="Q20">
        <f t="shared" si="7"/>
        <v>9.2785428932289022</v>
      </c>
      <c r="R20">
        <f t="shared" si="7"/>
        <v>9.7158977200150893</v>
      </c>
      <c r="S20">
        <f t="shared" si="7"/>
        <v>9.3060731712114055</v>
      </c>
      <c r="T20">
        <f t="shared" si="7"/>
        <v>11.355399031121989</v>
      </c>
      <c r="U20">
        <f t="shared" si="7"/>
        <v>10.932860563102226</v>
      </c>
      <c r="V20">
        <f t="shared" si="7"/>
        <v>12.962682458383018</v>
      </c>
      <c r="W20">
        <f t="shared" si="7"/>
        <v>12.398823520952847</v>
      </c>
      <c r="X20">
        <f t="shared" si="7"/>
        <v>13.744475291621866</v>
      </c>
      <c r="Y20">
        <f t="shared" si="7"/>
        <v>15.905075413378434</v>
      </c>
      <c r="Z20">
        <f t="shared" si="7"/>
        <v>17.498298004072684</v>
      </c>
      <c r="AA20">
        <f t="shared" si="7"/>
        <v>21.908384524998496</v>
      </c>
      <c r="AB20">
        <f t="shared" si="7"/>
        <v>15.308616550507107</v>
      </c>
      <c r="AC20">
        <f t="shared" si="7"/>
        <v>10.074168160781594</v>
      </c>
      <c r="AD20">
        <f t="shared" si="7"/>
        <v>12.147069660522673</v>
      </c>
      <c r="AE20">
        <f t="shared" si="7"/>
        <v>10.381025337575057</v>
      </c>
      <c r="AF20">
        <f t="shared" si="7"/>
        <v>18.076719756032588</v>
      </c>
      <c r="AG20">
        <f t="shared" si="7"/>
        <v>16.274044837479057</v>
      </c>
      <c r="AH20">
        <f t="shared" si="7"/>
        <v>13.910349896426883</v>
      </c>
      <c r="AI20">
        <f t="shared" si="7"/>
        <v>13.294423628471838</v>
      </c>
      <c r="AJ20">
        <f t="shared" si="7"/>
        <v>15.473611972416634</v>
      </c>
      <c r="AK20">
        <f t="shared" si="7"/>
        <v>17.640888160405062</v>
      </c>
      <c r="AL20">
        <f t="shared" si="7"/>
        <v>15.273223192077602</v>
      </c>
      <c r="AM20">
        <f t="shared" si="7"/>
        <v>14.489876235095563</v>
      </c>
      <c r="AN20">
        <f t="shared" si="7"/>
        <v>12.122981273034437</v>
      </c>
    </row>
    <row r="22" spans="1:40" x14ac:dyDescent="0.2">
      <c r="A22" t="s">
        <v>13</v>
      </c>
      <c r="B22" t="s">
        <v>1</v>
      </c>
      <c r="C22">
        <v>0.42369990000000002</v>
      </c>
      <c r="D22">
        <v>0.38822385500000001</v>
      </c>
      <c r="E22">
        <v>0.35113073</v>
      </c>
      <c r="F22">
        <v>0.34494872500000001</v>
      </c>
      <c r="G22">
        <v>0.37714801399999998</v>
      </c>
      <c r="H22">
        <v>0.39268531800000001</v>
      </c>
      <c r="I22">
        <v>0.40619242900000002</v>
      </c>
      <c r="J22">
        <v>0.40442631200000001</v>
      </c>
      <c r="K22">
        <v>0.39023986599999999</v>
      </c>
      <c r="L22">
        <v>0.37888896</v>
      </c>
      <c r="M22">
        <v>0.39990754899999997</v>
      </c>
      <c r="N22">
        <v>0.37921444100000001</v>
      </c>
      <c r="O22">
        <v>0.38006961700000003</v>
      </c>
      <c r="P22">
        <v>0.38951849399999999</v>
      </c>
      <c r="Q22">
        <v>0.40060378899999999</v>
      </c>
      <c r="R22">
        <v>0.41658186000000003</v>
      </c>
      <c r="S22">
        <v>0.44105895000000001</v>
      </c>
      <c r="T22">
        <v>0.44220939100000001</v>
      </c>
      <c r="U22">
        <v>0.44557409199999998</v>
      </c>
      <c r="V22">
        <v>0.44684689999999999</v>
      </c>
      <c r="W22">
        <v>0.42040334000000001</v>
      </c>
      <c r="X22">
        <v>0.43889256599999998</v>
      </c>
      <c r="Y22">
        <v>0.43382647600000002</v>
      </c>
      <c r="Z22">
        <v>0.45806925100000001</v>
      </c>
      <c r="AA22">
        <v>0.434596959</v>
      </c>
      <c r="AB22">
        <v>0.44699129599999998</v>
      </c>
      <c r="AC22">
        <v>0.46541466799999998</v>
      </c>
      <c r="AD22">
        <v>0.48922866399999998</v>
      </c>
      <c r="AE22">
        <v>0.45580036899999998</v>
      </c>
      <c r="AF22">
        <v>0.45595674800000002</v>
      </c>
      <c r="AG22">
        <v>0.430461121</v>
      </c>
      <c r="AH22">
        <v>0.42665835400000002</v>
      </c>
      <c r="AI22">
        <v>0.42168671299999999</v>
      </c>
      <c r="AJ22">
        <v>0.41952330599999998</v>
      </c>
      <c r="AK22">
        <v>0.40376153100000001</v>
      </c>
      <c r="AL22">
        <v>0.43285017599999998</v>
      </c>
      <c r="AM22">
        <v>0.440283702</v>
      </c>
      <c r="AN22">
        <v>0.43685299999999999</v>
      </c>
    </row>
    <row r="23" spans="1:40" x14ac:dyDescent="0.2">
      <c r="B23" t="s">
        <v>4</v>
      </c>
      <c r="C23">
        <f>C22*0.000293071*10^15</f>
        <v>124174153392.90001</v>
      </c>
      <c r="D23">
        <f t="shared" ref="D23:AN23" si="8">D22*0.000293071*10^15</f>
        <v>113777153408.705</v>
      </c>
      <c r="E23">
        <f t="shared" si="8"/>
        <v>102906234171.83</v>
      </c>
      <c r="F23">
        <f t="shared" si="8"/>
        <v>101094467784.47501</v>
      </c>
      <c r="G23">
        <f t="shared" si="8"/>
        <v>110531145610.99399</v>
      </c>
      <c r="H23">
        <f t="shared" si="8"/>
        <v>115084678831.578</v>
      </c>
      <c r="I23">
        <f t="shared" si="8"/>
        <v>119043221359.459</v>
      </c>
      <c r="J23">
        <f t="shared" si="8"/>
        <v>118525623684.15201</v>
      </c>
      <c r="K23">
        <f t="shared" si="8"/>
        <v>114367987768.48599</v>
      </c>
      <c r="L23">
        <f t="shared" si="8"/>
        <v>111041366396.16</v>
      </c>
      <c r="M23">
        <f t="shared" si="8"/>
        <v>117201305292.979</v>
      </c>
      <c r="N23">
        <f t="shared" si="8"/>
        <v>111136755438.311</v>
      </c>
      <c r="O23">
        <f t="shared" si="8"/>
        <v>111387382723.80701</v>
      </c>
      <c r="P23">
        <f t="shared" si="8"/>
        <v>114156574555.07399</v>
      </c>
      <c r="Q23">
        <f t="shared" si="8"/>
        <v>117405353046.019</v>
      </c>
      <c r="R23">
        <f t="shared" si="8"/>
        <v>122088062292.06001</v>
      </c>
      <c r="S23">
        <f t="shared" si="8"/>
        <v>129261587535.45001</v>
      </c>
      <c r="T23">
        <f t="shared" si="8"/>
        <v>129598748429.76102</v>
      </c>
      <c r="U23">
        <f t="shared" si="8"/>
        <v>130584844716.53198</v>
      </c>
      <c r="V23">
        <f t="shared" si="8"/>
        <v>130957867829.89999</v>
      </c>
      <c r="W23">
        <f t="shared" si="8"/>
        <v>123208027257.14001</v>
      </c>
      <c r="X23">
        <f t="shared" si="8"/>
        <v>128626683210.186</v>
      </c>
      <c r="Y23">
        <f t="shared" si="8"/>
        <v>127141959147.79601</v>
      </c>
      <c r="Z23">
        <f t="shared" si="8"/>
        <v>134246813459.82101</v>
      </c>
      <c r="AA23">
        <f t="shared" si="8"/>
        <v>127367765371.08899</v>
      </c>
      <c r="AB23">
        <f t="shared" si="8"/>
        <v>131000186110.01601</v>
      </c>
      <c r="AC23">
        <f t="shared" si="8"/>
        <v>136399542165.42799</v>
      </c>
      <c r="AD23">
        <f t="shared" si="8"/>
        <v>143378733787.14401</v>
      </c>
      <c r="AE23">
        <f t="shared" si="8"/>
        <v>133581869943.19899</v>
      </c>
      <c r="AF23">
        <f t="shared" si="8"/>
        <v>133627700093.10802</v>
      </c>
      <c r="AG23">
        <f t="shared" si="8"/>
        <v>126155671192.591</v>
      </c>
      <c r="AH23">
        <f t="shared" si="8"/>
        <v>125041190465.134</v>
      </c>
      <c r="AI23">
        <f t="shared" si="8"/>
        <v>123584146665.623</v>
      </c>
      <c r="AJ23">
        <f t="shared" si="8"/>
        <v>122950114812.72598</v>
      </c>
      <c r="AK23">
        <f t="shared" si="8"/>
        <v>118330795651.701</v>
      </c>
      <c r="AL23">
        <f t="shared" si="8"/>
        <v>126855833930.49599</v>
      </c>
      <c r="AM23">
        <f t="shared" si="8"/>
        <v>129034384828.84201</v>
      </c>
      <c r="AN23">
        <f t="shared" si="8"/>
        <v>128028945563</v>
      </c>
    </row>
    <row r="24" spans="1:40" x14ac:dyDescent="0.2">
      <c r="A24" t="s">
        <v>6</v>
      </c>
      <c r="B24" t="s">
        <v>5</v>
      </c>
      <c r="C24">
        <f>C23*870</f>
        <v>108031513451823.02</v>
      </c>
      <c r="D24">
        <f t="shared" ref="D24:AN24" si="9">D23*870</f>
        <v>98986123465573.359</v>
      </c>
      <c r="E24">
        <f t="shared" si="9"/>
        <v>89528423729492.109</v>
      </c>
      <c r="F24">
        <f t="shared" si="9"/>
        <v>87952186972493.25</v>
      </c>
      <c r="G24">
        <f t="shared" si="9"/>
        <v>96162096681564.766</v>
      </c>
      <c r="H24">
        <f t="shared" si="9"/>
        <v>100123670583472.86</v>
      </c>
      <c r="I24">
        <f t="shared" si="9"/>
        <v>103567602582729.33</v>
      </c>
      <c r="J24">
        <f t="shared" si="9"/>
        <v>103117292605212.25</v>
      </c>
      <c r="K24">
        <f t="shared" si="9"/>
        <v>99500149358582.812</v>
      </c>
      <c r="L24">
        <f t="shared" si="9"/>
        <v>96605988764659.203</v>
      </c>
      <c r="M24">
        <f t="shared" si="9"/>
        <v>101965135604891.73</v>
      </c>
      <c r="N24">
        <f t="shared" si="9"/>
        <v>96688977231330.578</v>
      </c>
      <c r="O24">
        <f t="shared" si="9"/>
        <v>96907022969712.094</v>
      </c>
      <c r="P24">
        <f t="shared" si="9"/>
        <v>99316219862914.375</v>
      </c>
      <c r="Q24">
        <f t="shared" si="9"/>
        <v>102142657150036.53</v>
      </c>
      <c r="R24">
        <f t="shared" si="9"/>
        <v>106216614194092.22</v>
      </c>
      <c r="S24">
        <f t="shared" si="9"/>
        <v>112457581155841.52</v>
      </c>
      <c r="T24">
        <f t="shared" si="9"/>
        <v>112750911133892.08</v>
      </c>
      <c r="U24">
        <f t="shared" si="9"/>
        <v>113608814903382.83</v>
      </c>
      <c r="V24">
        <f t="shared" si="9"/>
        <v>113933345012013</v>
      </c>
      <c r="W24">
        <f t="shared" si="9"/>
        <v>107190983713711.81</v>
      </c>
      <c r="X24">
        <f t="shared" si="9"/>
        <v>111905214392861.83</v>
      </c>
      <c r="Y24">
        <f t="shared" si="9"/>
        <v>110613504458582.53</v>
      </c>
      <c r="Z24">
        <f t="shared" si="9"/>
        <v>116794727710044.28</v>
      </c>
      <c r="AA24">
        <f t="shared" si="9"/>
        <v>110809955872847.42</v>
      </c>
      <c r="AB24">
        <f t="shared" si="9"/>
        <v>113970161915713.92</v>
      </c>
      <c r="AC24">
        <f t="shared" si="9"/>
        <v>118667601683922.36</v>
      </c>
      <c r="AD24">
        <f t="shared" si="9"/>
        <v>124739498394815.3</v>
      </c>
      <c r="AE24">
        <f t="shared" si="9"/>
        <v>116216226850583.12</v>
      </c>
      <c r="AF24">
        <f t="shared" si="9"/>
        <v>116256099081003.97</v>
      </c>
      <c r="AG24">
        <f t="shared" si="9"/>
        <v>109755433937554.17</v>
      </c>
      <c r="AH24">
        <f t="shared" si="9"/>
        <v>108785835704666.58</v>
      </c>
      <c r="AI24">
        <f t="shared" si="9"/>
        <v>107518207599092.02</v>
      </c>
      <c r="AJ24">
        <f t="shared" si="9"/>
        <v>106966599887071.61</v>
      </c>
      <c r="AK24">
        <f t="shared" si="9"/>
        <v>102947792216979.88</v>
      </c>
      <c r="AL24">
        <f t="shared" si="9"/>
        <v>110364575519531.52</v>
      </c>
      <c r="AM24">
        <f t="shared" si="9"/>
        <v>112259914801092.55</v>
      </c>
      <c r="AN24">
        <f t="shared" si="9"/>
        <v>111385182639810</v>
      </c>
    </row>
    <row r="25" spans="1:40" x14ac:dyDescent="0.2">
      <c r="B25" t="s">
        <v>10</v>
      </c>
      <c r="C25">
        <f>C24/C10*100</f>
        <v>86.583904237645342</v>
      </c>
      <c r="D25">
        <f t="shared" ref="D25:AN25" si="10">D24/D10*100</f>
        <v>84.965157364003105</v>
      </c>
      <c r="E25">
        <f t="shared" si="10"/>
        <v>83.237021991798414</v>
      </c>
      <c r="F25">
        <f t="shared" si="10"/>
        <v>81.71712610480381</v>
      </c>
      <c r="G25">
        <f t="shared" si="10"/>
        <v>83.071016266156633</v>
      </c>
      <c r="H25">
        <f t="shared" si="10"/>
        <v>83.034978974992882</v>
      </c>
      <c r="I25">
        <f t="shared" si="10"/>
        <v>80.90959011712016</v>
      </c>
      <c r="J25">
        <f t="shared" si="10"/>
        <v>82.697906511677331</v>
      </c>
      <c r="K25">
        <f t="shared" si="10"/>
        <v>81.384428607494939</v>
      </c>
      <c r="L25">
        <f t="shared" si="10"/>
        <v>81.457519066547633</v>
      </c>
      <c r="M25">
        <f t="shared" si="10"/>
        <v>81.671393278273413</v>
      </c>
      <c r="N25">
        <f t="shared" si="10"/>
        <v>81.81322253430281</v>
      </c>
      <c r="O25">
        <f t="shared" si="10"/>
        <v>77.343490799729793</v>
      </c>
      <c r="P25">
        <f t="shared" si="10"/>
        <v>80.475286886569492</v>
      </c>
      <c r="Q25">
        <f t="shared" si="10"/>
        <v>80.210663148265937</v>
      </c>
      <c r="R25">
        <f t="shared" si="10"/>
        <v>79.400150328602876</v>
      </c>
      <c r="S25">
        <f t="shared" si="10"/>
        <v>80.836111140617788</v>
      </c>
      <c r="T25">
        <f t="shared" si="10"/>
        <v>79.00672219067097</v>
      </c>
      <c r="U25">
        <f t="shared" si="10"/>
        <v>78.78017405402413</v>
      </c>
      <c r="V25">
        <f t="shared" si="10"/>
        <v>77.029536701405192</v>
      </c>
      <c r="W25">
        <f t="shared" si="10"/>
        <v>76.510718834472698</v>
      </c>
      <c r="X25">
        <f t="shared" si="10"/>
        <v>76.676474882166886</v>
      </c>
      <c r="Y25">
        <f t="shared" si="10"/>
        <v>75.013804027249705</v>
      </c>
      <c r="Z25">
        <f t="shared" si="10"/>
        <v>74.740506122354461</v>
      </c>
      <c r="AA25">
        <f t="shared" si="10"/>
        <v>69.892405889796436</v>
      </c>
      <c r="AB25">
        <f t="shared" si="10"/>
        <v>75.936450929487435</v>
      </c>
      <c r="AC25">
        <f t="shared" si="10"/>
        <v>81.892516968513306</v>
      </c>
      <c r="AD25">
        <f t="shared" si="10"/>
        <v>79.745644888548327</v>
      </c>
      <c r="AE25">
        <f t="shared" si="10"/>
        <v>80.57010133249176</v>
      </c>
      <c r="AF25">
        <f t="shared" si="10"/>
        <v>74.864498319633327</v>
      </c>
      <c r="AG25">
        <f t="shared" si="10"/>
        <v>75.442598185489246</v>
      </c>
      <c r="AH25">
        <f t="shared" si="10"/>
        <v>77.358234195339975</v>
      </c>
      <c r="AI25">
        <f t="shared" si="10"/>
        <v>77.165246484614727</v>
      </c>
      <c r="AJ25">
        <f t="shared" si="10"/>
        <v>75.335919617223766</v>
      </c>
      <c r="AK25">
        <f t="shared" si="10"/>
        <v>72.765741021469537</v>
      </c>
      <c r="AL25">
        <f t="shared" si="10"/>
        <v>75.801048927193563</v>
      </c>
      <c r="AM25">
        <f t="shared" si="10"/>
        <v>76.528391583080051</v>
      </c>
      <c r="AN25">
        <f t="shared" si="10"/>
        <v>78.202261571105552</v>
      </c>
    </row>
    <row r="27" spans="1:40" x14ac:dyDescent="0.2">
      <c r="A27" t="s">
        <v>14</v>
      </c>
      <c r="B27" t="s">
        <v>1</v>
      </c>
      <c r="C27">
        <v>0.87177460772159998</v>
      </c>
      <c r="D27">
        <v>0.95450620840199996</v>
      </c>
      <c r="E27">
        <v>0.94737516085474005</v>
      </c>
      <c r="F27">
        <v>1.0654736438024</v>
      </c>
      <c r="G27">
        <v>1.0818415344337</v>
      </c>
      <c r="H27">
        <v>1.0744849249535</v>
      </c>
      <c r="I27">
        <v>1.0165010711808</v>
      </c>
      <c r="J27">
        <v>1.0759361046752001</v>
      </c>
      <c r="K27">
        <v>1.1088529483133001</v>
      </c>
      <c r="L27">
        <v>1.1930785420376999</v>
      </c>
      <c r="M27">
        <v>1.2108396503548999</v>
      </c>
      <c r="N27">
        <v>1.1449847924043</v>
      </c>
      <c r="O27">
        <v>1.1810066752265</v>
      </c>
      <c r="P27">
        <v>1.2052678605450999</v>
      </c>
      <c r="Q27">
        <v>1.1567792361650999</v>
      </c>
      <c r="R27">
        <v>1.2357625297728001</v>
      </c>
      <c r="S27">
        <v>1.1144701140858</v>
      </c>
      <c r="T27">
        <v>1.1405250294489999</v>
      </c>
      <c r="U27">
        <v>1.1995382418288001</v>
      </c>
      <c r="V27">
        <v>1.24260219907</v>
      </c>
      <c r="W27">
        <v>1.3859516369986999</v>
      </c>
      <c r="X27">
        <v>1.2609083580966001</v>
      </c>
      <c r="Y27">
        <v>1.2844253554367</v>
      </c>
      <c r="Z27">
        <v>1.1022677745891001</v>
      </c>
      <c r="AA27">
        <v>1.1370635207463</v>
      </c>
      <c r="AB27">
        <v>1.3222029123301</v>
      </c>
      <c r="AC27">
        <v>1.1968900553680999</v>
      </c>
      <c r="AD27">
        <v>1.3002713897184</v>
      </c>
      <c r="AE27">
        <v>1.3353879868987999</v>
      </c>
      <c r="AF27">
        <v>1.1999378201344</v>
      </c>
      <c r="AG27">
        <v>1.1862649651265</v>
      </c>
      <c r="AH27">
        <v>1.1829322362782999</v>
      </c>
      <c r="AI27">
        <v>1.3150652279604</v>
      </c>
      <c r="AJ27">
        <v>1.2350985160642001</v>
      </c>
      <c r="AK27">
        <v>1.2678843224526</v>
      </c>
      <c r="AL27">
        <v>1.2633726904674001</v>
      </c>
      <c r="AM27">
        <v>1.2949895691180999</v>
      </c>
      <c r="AN27">
        <v>1.2911388730199</v>
      </c>
    </row>
    <row r="28" spans="1:40" x14ac:dyDescent="0.2">
      <c r="B28" t="s">
        <v>4</v>
      </c>
      <c r="C28">
        <f>C27*0.000293071*10^15</f>
        <v>255491856059.577</v>
      </c>
      <c r="D28">
        <f t="shared" ref="D28:AN28" si="11">D27*0.000293071*10^15</f>
        <v>279738089002.58252</v>
      </c>
      <c r="E28">
        <f t="shared" si="11"/>
        <v>277648185766.85956</v>
      </c>
      <c r="F28">
        <f t="shared" si="11"/>
        <v>312259426262.81311</v>
      </c>
      <c r="G28">
        <f t="shared" si="11"/>
        <v>317056380338.01892</v>
      </c>
      <c r="H28">
        <f t="shared" si="11"/>
        <v>314900371441.04718</v>
      </c>
      <c r="I28">
        <f t="shared" si="11"/>
        <v>297906985432.02826</v>
      </c>
      <c r="J28">
        <f t="shared" si="11"/>
        <v>315325670133.26556</v>
      </c>
      <c r="K28">
        <f t="shared" si="11"/>
        <v>324972642415.12714</v>
      </c>
      <c r="L28">
        <f t="shared" si="11"/>
        <v>349656721393.53076</v>
      </c>
      <c r="M28">
        <f t="shared" si="11"/>
        <v>354861987169.16083</v>
      </c>
      <c r="N28">
        <f t="shared" si="11"/>
        <v>335561838094.72058</v>
      </c>
      <c r="O28">
        <f t="shared" si="11"/>
        <v>346118807315.3056</v>
      </c>
      <c r="P28">
        <f t="shared" si="11"/>
        <v>353229057157.81299</v>
      </c>
      <c r="Q28">
        <f t="shared" si="11"/>
        <v>339018447522.14203</v>
      </c>
      <c r="R28">
        <f t="shared" si="11"/>
        <v>362166160363.04431</v>
      </c>
      <c r="S28">
        <f t="shared" si="11"/>
        <v>326618870805.2395</v>
      </c>
      <c r="T28">
        <f t="shared" si="11"/>
        <v>334254810905.64783</v>
      </c>
      <c r="U28">
        <f t="shared" si="11"/>
        <v>351549872071.0083</v>
      </c>
      <c r="V28">
        <f t="shared" si="11"/>
        <v>364170669083.64398</v>
      </c>
      <c r="W28">
        <f t="shared" si="11"/>
        <v>406182232206.84595</v>
      </c>
      <c r="X28">
        <f t="shared" si="11"/>
        <v>369535673415.72864</v>
      </c>
      <c r="Y28">
        <f t="shared" si="11"/>
        <v>376427823343.18915</v>
      </c>
      <c r="Z28">
        <f t="shared" si="11"/>
        <v>323042718966.60211</v>
      </c>
      <c r="AA28">
        <f t="shared" si="11"/>
        <v>333240343088.63885</v>
      </c>
      <c r="AB28">
        <f t="shared" si="11"/>
        <v>387499329719.49475</v>
      </c>
      <c r="AC28">
        <f t="shared" si="11"/>
        <v>350773765416.78442</v>
      </c>
      <c r="AD28">
        <f t="shared" si="11"/>
        <v>381071836456.16119</v>
      </c>
      <c r="AE28">
        <f t="shared" si="11"/>
        <v>391363492708.41815</v>
      </c>
      <c r="AF28">
        <f t="shared" si="11"/>
        <v>351666976884.6087</v>
      </c>
      <c r="AG28">
        <f t="shared" si="11"/>
        <v>347659859594.5885</v>
      </c>
      <c r="AH28">
        <f t="shared" si="11"/>
        <v>346683133418.31763</v>
      </c>
      <c r="AI28">
        <f t="shared" si="11"/>
        <v>385407481423.5824</v>
      </c>
      <c r="AJ28">
        <f t="shared" si="11"/>
        <v>361971557201.45117</v>
      </c>
      <c r="AK28">
        <f t="shared" si="11"/>
        <v>371580126265.50592</v>
      </c>
      <c r="AL28">
        <f t="shared" si="11"/>
        <v>370257897767.97144</v>
      </c>
      <c r="AM28">
        <f t="shared" si="11"/>
        <v>379523888011.01062</v>
      </c>
      <c r="AN28">
        <f t="shared" si="11"/>
        <v>378395360654.81512</v>
      </c>
    </row>
    <row r="29" spans="1:40" x14ac:dyDescent="0.2">
      <c r="A29" t="s">
        <v>7</v>
      </c>
      <c r="B29" t="s">
        <v>5</v>
      </c>
      <c r="C29">
        <f>C28*20</f>
        <v>5109837121191.54</v>
      </c>
      <c r="D29">
        <f t="shared" ref="D29:AN29" si="12">D28*20</f>
        <v>5594761780051.6504</v>
      </c>
      <c r="E29">
        <f t="shared" si="12"/>
        <v>5552963715337.1914</v>
      </c>
      <c r="F29">
        <f t="shared" si="12"/>
        <v>6245188525256.2617</v>
      </c>
      <c r="G29">
        <f t="shared" si="12"/>
        <v>6341127606760.3789</v>
      </c>
      <c r="H29">
        <f t="shared" si="12"/>
        <v>6298007428820.9434</v>
      </c>
      <c r="I29">
        <f t="shared" si="12"/>
        <v>5958139708640.5654</v>
      </c>
      <c r="J29">
        <f t="shared" si="12"/>
        <v>6306513402665.3115</v>
      </c>
      <c r="K29">
        <f t="shared" si="12"/>
        <v>6499452848302.543</v>
      </c>
      <c r="L29">
        <f t="shared" si="12"/>
        <v>6993134427870.6152</v>
      </c>
      <c r="M29">
        <f t="shared" si="12"/>
        <v>7097239743383.2168</v>
      </c>
      <c r="N29">
        <f t="shared" si="12"/>
        <v>6711236761894.4121</v>
      </c>
      <c r="O29">
        <f t="shared" si="12"/>
        <v>6922376146306.1123</v>
      </c>
      <c r="P29">
        <f t="shared" si="12"/>
        <v>7064581143156.2598</v>
      </c>
      <c r="Q29">
        <f t="shared" si="12"/>
        <v>6780368950442.8408</v>
      </c>
      <c r="R29">
        <f t="shared" si="12"/>
        <v>7243323207260.8867</v>
      </c>
      <c r="S29">
        <f t="shared" si="12"/>
        <v>6532377416104.79</v>
      </c>
      <c r="T29">
        <f t="shared" si="12"/>
        <v>6685096218112.957</v>
      </c>
      <c r="U29">
        <f t="shared" si="12"/>
        <v>7030997441420.166</v>
      </c>
      <c r="V29">
        <f t="shared" si="12"/>
        <v>7283413381672.8799</v>
      </c>
      <c r="W29">
        <f t="shared" si="12"/>
        <v>8123644644136.9189</v>
      </c>
      <c r="X29">
        <f t="shared" si="12"/>
        <v>7390713468314.5723</v>
      </c>
      <c r="Y29">
        <f t="shared" si="12"/>
        <v>7528556466863.7832</v>
      </c>
      <c r="Z29">
        <f t="shared" si="12"/>
        <v>6460854379332.042</v>
      </c>
      <c r="AA29">
        <f t="shared" si="12"/>
        <v>6664806861772.7773</v>
      </c>
      <c r="AB29">
        <f t="shared" si="12"/>
        <v>7749986594389.8945</v>
      </c>
      <c r="AC29">
        <f t="shared" si="12"/>
        <v>7015475308335.6885</v>
      </c>
      <c r="AD29">
        <f t="shared" si="12"/>
        <v>7621436729123.2236</v>
      </c>
      <c r="AE29">
        <f t="shared" si="12"/>
        <v>7827269854168.3633</v>
      </c>
      <c r="AF29">
        <f t="shared" si="12"/>
        <v>7033339537692.1738</v>
      </c>
      <c r="AG29">
        <f t="shared" si="12"/>
        <v>6953197191891.7695</v>
      </c>
      <c r="AH29">
        <f t="shared" si="12"/>
        <v>6933662668366.3525</v>
      </c>
      <c r="AI29">
        <f t="shared" si="12"/>
        <v>7708149628471.6484</v>
      </c>
      <c r="AJ29">
        <f t="shared" si="12"/>
        <v>7239431144029.0234</v>
      </c>
      <c r="AK29">
        <f t="shared" si="12"/>
        <v>7431602525310.1182</v>
      </c>
      <c r="AL29">
        <f t="shared" si="12"/>
        <v>7405157955359.4287</v>
      </c>
      <c r="AM29">
        <f t="shared" si="12"/>
        <v>7590477760220.2129</v>
      </c>
      <c r="AN29">
        <f t="shared" si="12"/>
        <v>7567907213096.3027</v>
      </c>
    </row>
    <row r="30" spans="1:40" x14ac:dyDescent="0.2">
      <c r="B30" t="s">
        <v>10</v>
      </c>
      <c r="C30">
        <f>C29/C10*100</f>
        <v>4.0953758198390551</v>
      </c>
      <c r="D30">
        <f t="shared" ref="D30:AN30" si="13">D29/D10*100</f>
        <v>4.8022874157863678</v>
      </c>
      <c r="E30">
        <f t="shared" si="13"/>
        <v>5.1627421062359247</v>
      </c>
      <c r="F30">
        <f t="shared" si="13"/>
        <v>5.8024578561786795</v>
      </c>
      <c r="G30">
        <f t="shared" si="13"/>
        <v>5.4778746797848488</v>
      </c>
      <c r="H30">
        <f t="shared" si="13"/>
        <v>5.2230897188343661</v>
      </c>
      <c r="I30">
        <f t="shared" si="13"/>
        <v>4.6546471064787864</v>
      </c>
      <c r="J30">
        <f t="shared" si="13"/>
        <v>5.0576915143124506</v>
      </c>
      <c r="K30">
        <f t="shared" si="13"/>
        <v>5.3161151991258864</v>
      </c>
      <c r="L30">
        <f t="shared" si="13"/>
        <v>5.8965638494824928</v>
      </c>
      <c r="M30">
        <f t="shared" si="13"/>
        <v>5.6847024704416205</v>
      </c>
      <c r="N30">
        <f t="shared" si="13"/>
        <v>5.6787021892640759</v>
      </c>
      <c r="O30">
        <f t="shared" si="13"/>
        <v>5.5248909663795285</v>
      </c>
      <c r="P30">
        <f t="shared" si="13"/>
        <v>5.7243841440368941</v>
      </c>
      <c r="Q30">
        <f t="shared" si="13"/>
        <v>5.3244932634370734</v>
      </c>
      <c r="R30">
        <f t="shared" si="13"/>
        <v>5.4146044467604648</v>
      </c>
      <c r="S30">
        <f t="shared" si="13"/>
        <v>4.6955659315572902</v>
      </c>
      <c r="T30">
        <f t="shared" si="13"/>
        <v>4.6843749146750113</v>
      </c>
      <c r="U30">
        <f t="shared" si="13"/>
        <v>4.8755301486028086</v>
      </c>
      <c r="V30">
        <f t="shared" si="13"/>
        <v>4.9242647824999919</v>
      </c>
      <c r="W30">
        <f t="shared" si="13"/>
        <v>5.7984904116447815</v>
      </c>
      <c r="X30">
        <f t="shared" si="13"/>
        <v>5.0640522757504582</v>
      </c>
      <c r="Y30">
        <f t="shared" si="13"/>
        <v>5.1055760521977076</v>
      </c>
      <c r="Z30">
        <f t="shared" si="13"/>
        <v>4.1344976418193156</v>
      </c>
      <c r="AA30">
        <f t="shared" si="13"/>
        <v>4.2037683589969417</v>
      </c>
      <c r="AB30">
        <f t="shared" si="13"/>
        <v>5.163689046649778</v>
      </c>
      <c r="AC30">
        <f t="shared" si="13"/>
        <v>4.8413798086213831</v>
      </c>
      <c r="AD30">
        <f t="shared" si="13"/>
        <v>4.8723651671062171</v>
      </c>
      <c r="AE30">
        <f t="shared" si="13"/>
        <v>5.4264704886513764</v>
      </c>
      <c r="AF30">
        <f t="shared" si="13"/>
        <v>4.529202684102474</v>
      </c>
      <c r="AG30">
        <f t="shared" si="13"/>
        <v>4.7794195060156905</v>
      </c>
      <c r="AH30">
        <f t="shared" si="13"/>
        <v>4.930567449857457</v>
      </c>
      <c r="AI30">
        <f t="shared" si="13"/>
        <v>5.5320980446322956</v>
      </c>
      <c r="AJ30">
        <f t="shared" si="13"/>
        <v>5.0986869108374329</v>
      </c>
      <c r="AK30">
        <f t="shared" si="13"/>
        <v>5.2528184731874505</v>
      </c>
      <c r="AL30">
        <f t="shared" si="13"/>
        <v>5.0860408590839778</v>
      </c>
      <c r="AM30">
        <f t="shared" si="13"/>
        <v>5.1744832994576582</v>
      </c>
      <c r="AN30">
        <f t="shared" si="13"/>
        <v>5.313341015368497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USA</vt:lpstr>
      <vt:lpstr>Ouganda</vt:lpstr>
      <vt:lpstr>Norvège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2020-01-15T11:29:30Z</dcterms:created>
  <dcterms:modified xsi:type="dcterms:W3CDTF">2020-01-19T13:28:44Z</dcterms:modified>
</cp:coreProperties>
</file>