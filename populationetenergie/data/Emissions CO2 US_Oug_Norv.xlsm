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ucille\Documents\Mines 1A\EC\"/>
    </mc:Choice>
  </mc:AlternateContent>
  <xr:revisionPtr revIDLastSave="0" documentId="8_{CC880698-B72D-47B3-B788-2F32AFF8BB7F}" xr6:coauthVersionLast="45" xr6:coauthVersionMax="45" xr10:uidLastSave="{00000000-0000-0000-0000-000000000000}"/>
  <bookViews>
    <workbookView xWindow="-108" yWindow="-108" windowWidth="23256" windowHeight="12576" activeTab="3" xr2:uid="{00000000-000D-0000-FFFF-FFFF00000000}"/>
  </bookViews>
  <sheets>
    <sheet name="USA" sheetId="1" r:id="rId1"/>
    <sheet name="Ouganda" sheetId="2" r:id="rId2"/>
    <sheet name="Norvège" sheetId="3" r:id="rId3"/>
    <sheet name="Mond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  <c r="B2" i="4"/>
  <c r="BH16" i="2"/>
  <c r="BH17" i="2"/>
  <c r="BH18" i="2"/>
  <c r="BH19" i="2"/>
  <c r="BH20" i="2"/>
  <c r="BH21" i="2"/>
  <c r="BH22" i="2"/>
  <c r="BH23" i="2"/>
  <c r="BH24" i="2"/>
  <c r="BH25" i="2"/>
  <c r="BH26" i="2"/>
  <c r="BH27" i="2"/>
  <c r="BH28" i="2"/>
  <c r="BH29" i="2"/>
  <c r="BH30" i="2"/>
  <c r="BH31" i="2"/>
  <c r="BH32" i="2"/>
  <c r="BH33" i="2"/>
  <c r="BH34" i="2"/>
  <c r="BH35" i="2"/>
  <c r="BH36" i="2"/>
  <c r="BH37" i="2"/>
  <c r="BH38" i="2"/>
  <c r="BH39" i="2"/>
  <c r="BH40" i="2"/>
  <c r="BH41" i="2"/>
  <c r="BH42" i="2"/>
  <c r="BH43" i="2"/>
  <c r="BH44" i="2"/>
  <c r="BH45" i="2"/>
  <c r="BH46" i="2"/>
  <c r="BH47" i="2"/>
  <c r="BH48" i="2"/>
  <c r="BH15" i="2"/>
  <c r="BF17" i="2"/>
  <c r="BF18" i="2"/>
  <c r="BF19" i="2"/>
  <c r="BF20" i="2"/>
  <c r="BF21" i="2" s="1"/>
  <c r="BF22" i="2" s="1"/>
  <c r="BF23" i="2" s="1"/>
  <c r="BF24" i="2" s="1"/>
  <c r="BF25" i="2" s="1"/>
  <c r="BF26" i="2" s="1"/>
  <c r="BF27" i="2" s="1"/>
  <c r="BF28" i="2" s="1"/>
  <c r="BF29" i="2" s="1"/>
  <c r="BF30" i="2" s="1"/>
  <c r="BF31" i="2" s="1"/>
  <c r="BF32" i="2" s="1"/>
  <c r="BF33" i="2" s="1"/>
  <c r="BF34" i="2" s="1"/>
  <c r="BF35" i="2" s="1"/>
  <c r="BF36" i="2" s="1"/>
  <c r="BF37" i="2" s="1"/>
  <c r="BF38" i="2" s="1"/>
  <c r="BF39" i="2" s="1"/>
  <c r="BF40" i="2" s="1"/>
  <c r="BF41" i="2" s="1"/>
  <c r="BF42" i="2" s="1"/>
  <c r="BF43" i="2" s="1"/>
  <c r="BF44" i="2" s="1"/>
  <c r="BF45" i="2" s="1"/>
  <c r="BF46" i="2" s="1"/>
  <c r="BF47" i="2" s="1"/>
  <c r="BF48" i="2" s="1"/>
  <c r="BF16" i="2"/>
  <c r="BE18" i="2"/>
  <c r="BE19" i="2" s="1"/>
  <c r="BE20" i="2" s="1"/>
  <c r="BE21" i="2" s="1"/>
  <c r="BE22" i="2" s="1"/>
  <c r="BE23" i="2" s="1"/>
  <c r="BE24" i="2" s="1"/>
  <c r="BE25" i="2" s="1"/>
  <c r="BE26" i="2" s="1"/>
  <c r="BE27" i="2" s="1"/>
  <c r="BE28" i="2" s="1"/>
  <c r="BE29" i="2" s="1"/>
  <c r="BE30" i="2" s="1"/>
  <c r="BE31" i="2" s="1"/>
  <c r="BE32" i="2" s="1"/>
  <c r="BE33" i="2" s="1"/>
  <c r="BE34" i="2" s="1"/>
  <c r="BE35" i="2" s="1"/>
  <c r="BE36" i="2" s="1"/>
  <c r="BE37" i="2" s="1"/>
  <c r="BE38" i="2" s="1"/>
  <c r="BE39" i="2" s="1"/>
  <c r="BE40" i="2" s="1"/>
  <c r="BE41" i="2" s="1"/>
  <c r="BE42" i="2" s="1"/>
  <c r="BE43" i="2" s="1"/>
  <c r="BE44" i="2" s="1"/>
  <c r="BE45" i="2" s="1"/>
  <c r="BE46" i="2" s="1"/>
  <c r="BE47" i="2" s="1"/>
  <c r="BE48" i="2" s="1"/>
  <c r="BE17" i="2"/>
  <c r="BE16" i="2"/>
  <c r="BF15" i="2"/>
  <c r="BC17" i="2"/>
  <c r="BC18" i="2" s="1"/>
  <c r="BC19" i="2" s="1"/>
  <c r="BC20" i="2" s="1"/>
  <c r="BC21" i="2" s="1"/>
  <c r="BC22" i="2" s="1"/>
  <c r="BC23" i="2" s="1"/>
  <c r="BC24" i="2" s="1"/>
  <c r="BC25" i="2" s="1"/>
  <c r="BC26" i="2" s="1"/>
  <c r="BC27" i="2" s="1"/>
  <c r="BC28" i="2" s="1"/>
  <c r="BC29" i="2" s="1"/>
  <c r="BC30" i="2" s="1"/>
  <c r="BC31" i="2" s="1"/>
  <c r="BC32" i="2" s="1"/>
  <c r="BC33" i="2" s="1"/>
  <c r="BC34" i="2" s="1"/>
  <c r="BC35" i="2" s="1"/>
  <c r="BC36" i="2" s="1"/>
  <c r="BC37" i="2" s="1"/>
  <c r="BC38" i="2" s="1"/>
  <c r="BC39" i="2" s="1"/>
  <c r="BC40" i="2" s="1"/>
  <c r="BC41" i="2" s="1"/>
  <c r="BC42" i="2" s="1"/>
  <c r="BC43" i="2" s="1"/>
  <c r="BC44" i="2" s="1"/>
  <c r="BC45" i="2" s="1"/>
  <c r="BC46" i="2" s="1"/>
  <c r="BC47" i="2" s="1"/>
  <c r="BC48" i="2" s="1"/>
  <c r="BC16" i="2"/>
  <c r="BB18" i="2"/>
  <c r="BB19" i="2"/>
  <c r="BB20" i="2"/>
  <c r="BB21" i="2"/>
  <c r="BB22" i="2" s="1"/>
  <c r="BB23" i="2" s="1"/>
  <c r="BB24" i="2" s="1"/>
  <c r="BB25" i="2" s="1"/>
  <c r="BB26" i="2" s="1"/>
  <c r="BB27" i="2" s="1"/>
  <c r="BB28" i="2" s="1"/>
  <c r="BB29" i="2" s="1"/>
  <c r="BB30" i="2" s="1"/>
  <c r="BB31" i="2" s="1"/>
  <c r="BB32" i="2" s="1"/>
  <c r="BB33" i="2" s="1"/>
  <c r="BB34" i="2" s="1"/>
  <c r="BB35" i="2" s="1"/>
  <c r="BB36" i="2" s="1"/>
  <c r="BB37" i="2" s="1"/>
  <c r="BB38" i="2" s="1"/>
  <c r="BB39" i="2" s="1"/>
  <c r="BB40" i="2" s="1"/>
  <c r="BB41" i="2" s="1"/>
  <c r="BB42" i="2" s="1"/>
  <c r="BB43" i="2" s="1"/>
  <c r="BB44" i="2" s="1"/>
  <c r="BB45" i="2" s="1"/>
  <c r="BB46" i="2" s="1"/>
  <c r="BB47" i="2" s="1"/>
  <c r="BB48" i="2" s="1"/>
  <c r="BB17" i="2"/>
  <c r="BB16" i="2"/>
  <c r="BC15" i="2"/>
  <c r="AZ17" i="2"/>
  <c r="AZ18" i="2" s="1"/>
  <c r="AZ19" i="2" s="1"/>
  <c r="AZ20" i="2" s="1"/>
  <c r="AZ21" i="2" s="1"/>
  <c r="AZ22" i="2" s="1"/>
  <c r="AZ23" i="2" s="1"/>
  <c r="AZ24" i="2" s="1"/>
  <c r="AZ25" i="2" s="1"/>
  <c r="AZ26" i="2" s="1"/>
  <c r="AZ27" i="2" s="1"/>
  <c r="AZ28" i="2" s="1"/>
  <c r="AZ29" i="2" s="1"/>
  <c r="AZ30" i="2" s="1"/>
  <c r="AZ31" i="2" s="1"/>
  <c r="AZ32" i="2" s="1"/>
  <c r="AZ33" i="2" s="1"/>
  <c r="AZ34" i="2" s="1"/>
  <c r="AZ35" i="2" s="1"/>
  <c r="AZ36" i="2" s="1"/>
  <c r="AZ37" i="2" s="1"/>
  <c r="AZ38" i="2" s="1"/>
  <c r="AZ39" i="2" s="1"/>
  <c r="AZ40" i="2" s="1"/>
  <c r="AZ41" i="2" s="1"/>
  <c r="AZ42" i="2" s="1"/>
  <c r="AZ43" i="2" s="1"/>
  <c r="AZ44" i="2" s="1"/>
  <c r="AZ45" i="2" s="1"/>
  <c r="AZ46" i="2" s="1"/>
  <c r="AZ47" i="2" s="1"/>
  <c r="AZ48" i="2" s="1"/>
  <c r="AZ16" i="2"/>
  <c r="AY18" i="2"/>
  <c r="AY19" i="2" s="1"/>
  <c r="AY20" i="2" s="1"/>
  <c r="AY21" i="2" s="1"/>
  <c r="AY22" i="2" s="1"/>
  <c r="AY23" i="2" s="1"/>
  <c r="AY24" i="2" s="1"/>
  <c r="AY25" i="2" s="1"/>
  <c r="AY26" i="2" s="1"/>
  <c r="AY27" i="2" s="1"/>
  <c r="AY28" i="2" s="1"/>
  <c r="AY29" i="2" s="1"/>
  <c r="AY30" i="2" s="1"/>
  <c r="AY31" i="2" s="1"/>
  <c r="AY32" i="2" s="1"/>
  <c r="AY33" i="2" s="1"/>
  <c r="AY34" i="2" s="1"/>
  <c r="AY35" i="2" s="1"/>
  <c r="AY36" i="2" s="1"/>
  <c r="AY37" i="2" s="1"/>
  <c r="AY38" i="2" s="1"/>
  <c r="AY39" i="2" s="1"/>
  <c r="AY40" i="2" s="1"/>
  <c r="AY41" i="2" s="1"/>
  <c r="AY42" i="2" s="1"/>
  <c r="AY43" i="2" s="1"/>
  <c r="AY44" i="2" s="1"/>
  <c r="AY45" i="2" s="1"/>
  <c r="AY46" i="2" s="1"/>
  <c r="AY47" i="2" s="1"/>
  <c r="AY48" i="2" s="1"/>
  <c r="AY17" i="2"/>
  <c r="AY16" i="2"/>
  <c r="AZ15" i="2"/>
  <c r="AV18" i="2"/>
  <c r="AV19" i="2" s="1"/>
  <c r="AV20" i="2" s="1"/>
  <c r="AV21" i="2" s="1"/>
  <c r="AV22" i="2" s="1"/>
  <c r="AV23" i="2" s="1"/>
  <c r="AV24" i="2" s="1"/>
  <c r="AV25" i="2" s="1"/>
  <c r="AV26" i="2" s="1"/>
  <c r="AV27" i="2" s="1"/>
  <c r="AV28" i="2" s="1"/>
  <c r="AV29" i="2" s="1"/>
  <c r="AV30" i="2" s="1"/>
  <c r="AV31" i="2" s="1"/>
  <c r="AV32" i="2" s="1"/>
  <c r="AV33" i="2" s="1"/>
  <c r="AV34" i="2" s="1"/>
  <c r="AV35" i="2" s="1"/>
  <c r="AV36" i="2" s="1"/>
  <c r="AV37" i="2" s="1"/>
  <c r="AV38" i="2" s="1"/>
  <c r="AV39" i="2" s="1"/>
  <c r="AV40" i="2" s="1"/>
  <c r="AV41" i="2" s="1"/>
  <c r="AV42" i="2" s="1"/>
  <c r="AV43" i="2" s="1"/>
  <c r="AV44" i="2" s="1"/>
  <c r="AV45" i="2" s="1"/>
  <c r="AV46" i="2" s="1"/>
  <c r="AV47" i="2" s="1"/>
  <c r="AV48" i="2" s="1"/>
  <c r="AV17" i="2"/>
  <c r="AW17" i="2"/>
  <c r="AW16" i="2"/>
  <c r="AV16" i="2"/>
  <c r="AW15" i="2"/>
  <c r="AT17" i="2"/>
  <c r="AT18" i="2" s="1"/>
  <c r="AT19" i="2" s="1"/>
  <c r="AT20" i="2" s="1"/>
  <c r="AT21" i="2" s="1"/>
  <c r="AT22" i="2" s="1"/>
  <c r="AT23" i="2" s="1"/>
  <c r="AT24" i="2" s="1"/>
  <c r="AT25" i="2" s="1"/>
  <c r="AT26" i="2" s="1"/>
  <c r="AT27" i="2" s="1"/>
  <c r="AT28" i="2" s="1"/>
  <c r="AT29" i="2" s="1"/>
  <c r="AT30" i="2" s="1"/>
  <c r="AT31" i="2" s="1"/>
  <c r="AT32" i="2" s="1"/>
  <c r="AT33" i="2" s="1"/>
  <c r="AT34" i="2" s="1"/>
  <c r="AT35" i="2" s="1"/>
  <c r="AT36" i="2" s="1"/>
  <c r="AT37" i="2" s="1"/>
  <c r="AT38" i="2" s="1"/>
  <c r="AT39" i="2" s="1"/>
  <c r="AT40" i="2" s="1"/>
  <c r="AT41" i="2" s="1"/>
  <c r="AT42" i="2" s="1"/>
  <c r="AT43" i="2" s="1"/>
  <c r="AT44" i="2" s="1"/>
  <c r="AT45" i="2" s="1"/>
  <c r="AT46" i="2" s="1"/>
  <c r="AT47" i="2" s="1"/>
  <c r="AT48" i="2" s="1"/>
  <c r="AT16" i="2"/>
  <c r="AT15" i="2"/>
  <c r="BH16" i="1"/>
  <c r="BH4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7" i="1"/>
  <c r="BH48" i="1"/>
  <c r="BH49" i="1"/>
  <c r="BF18" i="1"/>
  <c r="BF19" i="1" s="1"/>
  <c r="BF20" i="1" s="1"/>
  <c r="BF21" i="1" s="1"/>
  <c r="BF22" i="1" s="1"/>
  <c r="BF23" i="1" s="1"/>
  <c r="BF24" i="1" s="1"/>
  <c r="BF25" i="1" s="1"/>
  <c r="BF26" i="1" s="1"/>
  <c r="BF27" i="1" s="1"/>
  <c r="BF28" i="1" s="1"/>
  <c r="BF29" i="1" s="1"/>
  <c r="BF30" i="1" s="1"/>
  <c r="BF31" i="1" s="1"/>
  <c r="BF32" i="1" s="1"/>
  <c r="BF33" i="1" s="1"/>
  <c r="BF34" i="1" s="1"/>
  <c r="BF35" i="1" s="1"/>
  <c r="BF36" i="1" s="1"/>
  <c r="BF37" i="1" s="1"/>
  <c r="BF38" i="1" s="1"/>
  <c r="BF39" i="1" s="1"/>
  <c r="BF40" i="1" s="1"/>
  <c r="BF41" i="1" s="1"/>
  <c r="BF42" i="1" s="1"/>
  <c r="BF43" i="1" s="1"/>
  <c r="BF44" i="1" s="1"/>
  <c r="BF45" i="1" s="1"/>
  <c r="BF46" i="1" s="1"/>
  <c r="BF47" i="1" s="1"/>
  <c r="BF48" i="1" s="1"/>
  <c r="BF49" i="1" s="1"/>
  <c r="BE19" i="1"/>
  <c r="BE20" i="1"/>
  <c r="BE21" i="1"/>
  <c r="BE22" i="1"/>
  <c r="BE23" i="1" s="1"/>
  <c r="BE24" i="1" s="1"/>
  <c r="BE25" i="1" s="1"/>
  <c r="BE26" i="1" s="1"/>
  <c r="BE27" i="1" s="1"/>
  <c r="BE28" i="1" s="1"/>
  <c r="BE29" i="1" s="1"/>
  <c r="BE30" i="1" s="1"/>
  <c r="BE31" i="1" s="1"/>
  <c r="BE32" i="1" s="1"/>
  <c r="BE33" i="1" s="1"/>
  <c r="BE34" i="1" s="1"/>
  <c r="BE35" i="1" s="1"/>
  <c r="BE36" i="1" s="1"/>
  <c r="BE37" i="1" s="1"/>
  <c r="BE38" i="1" s="1"/>
  <c r="BE39" i="1" s="1"/>
  <c r="BE40" i="1" s="1"/>
  <c r="BE41" i="1" s="1"/>
  <c r="BE42" i="1" s="1"/>
  <c r="BE43" i="1" s="1"/>
  <c r="BE44" i="1" s="1"/>
  <c r="BE45" i="1" s="1"/>
  <c r="BE46" i="1" s="1"/>
  <c r="BE47" i="1" s="1"/>
  <c r="BE48" i="1" s="1"/>
  <c r="BE49" i="1" s="1"/>
  <c r="BE18" i="1"/>
  <c r="BF17" i="1"/>
  <c r="BE17" i="1"/>
  <c r="AZ16" i="3"/>
  <c r="AX16" i="3"/>
  <c r="AT16" i="3"/>
  <c r="AV16" i="3"/>
  <c r="AW18" i="2" l="1"/>
  <c r="D18" i="3"/>
  <c r="D19" i="3" s="1"/>
  <c r="E18" i="3"/>
  <c r="E19" i="3" s="1"/>
  <c r="F18" i="3"/>
  <c r="G18" i="3"/>
  <c r="H18" i="3"/>
  <c r="I18" i="3"/>
  <c r="I19" i="3" s="1"/>
  <c r="J18" i="3"/>
  <c r="K18" i="3"/>
  <c r="L18" i="3"/>
  <c r="L19" i="3" s="1"/>
  <c r="M18" i="3"/>
  <c r="M19" i="3" s="1"/>
  <c r="N18" i="3"/>
  <c r="N19" i="3" s="1"/>
  <c r="O18" i="3"/>
  <c r="O19" i="3" s="1"/>
  <c r="P18" i="3"/>
  <c r="P19" i="3" s="1"/>
  <c r="Q18" i="3"/>
  <c r="Q19" i="3" s="1"/>
  <c r="R18" i="3"/>
  <c r="R19" i="3" s="1"/>
  <c r="S18" i="3"/>
  <c r="S19" i="3" s="1"/>
  <c r="T18" i="3"/>
  <c r="U18" i="3"/>
  <c r="U19" i="3" s="1"/>
  <c r="V18" i="3"/>
  <c r="W18" i="3"/>
  <c r="X18" i="3"/>
  <c r="Y18" i="3"/>
  <c r="Y19" i="3" s="1"/>
  <c r="Z18" i="3"/>
  <c r="Z19" i="3" s="1"/>
  <c r="AA18" i="3"/>
  <c r="AB18" i="3"/>
  <c r="AC18" i="3"/>
  <c r="AC19" i="3" s="1"/>
  <c r="AD18" i="3"/>
  <c r="AD19" i="3" s="1"/>
  <c r="AE18" i="3"/>
  <c r="AE19" i="3" s="1"/>
  <c r="AF18" i="3"/>
  <c r="AF19" i="3" s="1"/>
  <c r="AG18" i="3"/>
  <c r="AG19" i="3" s="1"/>
  <c r="AH18" i="3"/>
  <c r="AH19" i="3" s="1"/>
  <c r="AI18" i="3"/>
  <c r="AI19" i="3" s="1"/>
  <c r="AJ18" i="3"/>
  <c r="AJ19" i="3" s="1"/>
  <c r="AK18" i="3"/>
  <c r="AK19" i="3" s="1"/>
  <c r="AL18" i="3"/>
  <c r="AM18" i="3"/>
  <c r="AN18" i="3"/>
  <c r="AN19" i="3" s="1"/>
  <c r="C18" i="3"/>
  <c r="C19" i="3" s="1"/>
  <c r="D21" i="1"/>
  <c r="E21" i="1"/>
  <c r="E22" i="1" s="1"/>
  <c r="F21" i="1"/>
  <c r="F22" i="1" s="1"/>
  <c r="G21" i="1"/>
  <c r="G22" i="1" s="1"/>
  <c r="H21" i="1"/>
  <c r="H22" i="1" s="1"/>
  <c r="I21" i="1"/>
  <c r="I22" i="1" s="1"/>
  <c r="J21" i="1"/>
  <c r="J22" i="1" s="1"/>
  <c r="K21" i="1"/>
  <c r="K22" i="1" s="1"/>
  <c r="L21" i="1"/>
  <c r="L22" i="1" s="1"/>
  <c r="M21" i="1"/>
  <c r="M22" i="1" s="1"/>
  <c r="N21" i="1"/>
  <c r="O21" i="1"/>
  <c r="O22" i="1" s="1"/>
  <c r="P21" i="1"/>
  <c r="P22" i="1" s="1"/>
  <c r="Q21" i="1"/>
  <c r="Q22" i="1" s="1"/>
  <c r="R21" i="1"/>
  <c r="S21" i="1"/>
  <c r="S22" i="1" s="1"/>
  <c r="T21" i="1"/>
  <c r="T22" i="1" s="1"/>
  <c r="U21" i="1"/>
  <c r="U22" i="1" s="1"/>
  <c r="V21" i="1"/>
  <c r="W21" i="1"/>
  <c r="W22" i="1" s="1"/>
  <c r="X21" i="1"/>
  <c r="X22" i="1" s="1"/>
  <c r="Y21" i="1"/>
  <c r="Y22" i="1" s="1"/>
  <c r="Z21" i="1"/>
  <c r="AA21" i="1"/>
  <c r="AB21" i="1"/>
  <c r="AB22" i="1" s="1"/>
  <c r="AC21" i="1"/>
  <c r="AC22" i="1" s="1"/>
  <c r="AD21" i="1"/>
  <c r="AD22" i="1" s="1"/>
  <c r="AE21" i="1"/>
  <c r="AE22" i="1" s="1"/>
  <c r="AF21" i="1"/>
  <c r="AF22" i="1" s="1"/>
  <c r="AG21" i="1"/>
  <c r="AG22" i="1" s="1"/>
  <c r="AH21" i="1"/>
  <c r="AH22" i="1" s="1"/>
  <c r="AI21" i="1"/>
  <c r="AI22" i="1" s="1"/>
  <c r="AJ21" i="1"/>
  <c r="AJ22" i="1" s="1"/>
  <c r="AK21" i="1"/>
  <c r="AK22" i="1" s="1"/>
  <c r="AL21" i="1"/>
  <c r="AM21" i="1"/>
  <c r="AN21" i="1"/>
  <c r="AN22" i="1" s="1"/>
  <c r="C21" i="1"/>
  <c r="C22" i="1" s="1"/>
  <c r="AH29" i="3"/>
  <c r="AG29" i="3"/>
  <c r="O29" i="3"/>
  <c r="AN28" i="3"/>
  <c r="AN29" i="3" s="1"/>
  <c r="AM28" i="3"/>
  <c r="AM29" i="3" s="1"/>
  <c r="AL28" i="3"/>
  <c r="AL29" i="3" s="1"/>
  <c r="AK28" i="3"/>
  <c r="AK29" i="3" s="1"/>
  <c r="AJ28" i="3"/>
  <c r="AJ29" i="3" s="1"/>
  <c r="AI28" i="3"/>
  <c r="AI29" i="3" s="1"/>
  <c r="AH28" i="3"/>
  <c r="AG28" i="3"/>
  <c r="AF28" i="3"/>
  <c r="AF29" i="3" s="1"/>
  <c r="AE28" i="3"/>
  <c r="AE29" i="3" s="1"/>
  <c r="AD28" i="3"/>
  <c r="AD29" i="3" s="1"/>
  <c r="AC28" i="3"/>
  <c r="AC29" i="3" s="1"/>
  <c r="AB28" i="3"/>
  <c r="AB29" i="3" s="1"/>
  <c r="AA28" i="3"/>
  <c r="AA29" i="3" s="1"/>
  <c r="Z28" i="3"/>
  <c r="Z29" i="3" s="1"/>
  <c r="Y28" i="3"/>
  <c r="Y29" i="3" s="1"/>
  <c r="X28" i="3"/>
  <c r="X29" i="3" s="1"/>
  <c r="W28" i="3"/>
  <c r="W29" i="3" s="1"/>
  <c r="V28" i="3"/>
  <c r="V29" i="3" s="1"/>
  <c r="U28" i="3"/>
  <c r="U29" i="3" s="1"/>
  <c r="T28" i="3"/>
  <c r="T29" i="3" s="1"/>
  <c r="S28" i="3"/>
  <c r="S29" i="3" s="1"/>
  <c r="R28" i="3"/>
  <c r="R29" i="3" s="1"/>
  <c r="Q28" i="3"/>
  <c r="Q29" i="3" s="1"/>
  <c r="P28" i="3"/>
  <c r="P29" i="3" s="1"/>
  <c r="O28" i="3"/>
  <c r="N28" i="3"/>
  <c r="N29" i="3" s="1"/>
  <c r="M28" i="3"/>
  <c r="M29" i="3" s="1"/>
  <c r="L28" i="3"/>
  <c r="L29" i="3" s="1"/>
  <c r="K28" i="3"/>
  <c r="K29" i="3" s="1"/>
  <c r="J28" i="3"/>
  <c r="J29" i="3" s="1"/>
  <c r="I28" i="3"/>
  <c r="I29" i="3" s="1"/>
  <c r="H28" i="3"/>
  <c r="H29" i="3" s="1"/>
  <c r="G28" i="3"/>
  <c r="G29" i="3" s="1"/>
  <c r="F28" i="3"/>
  <c r="F29" i="3" s="1"/>
  <c r="E28" i="3"/>
  <c r="E29" i="3" s="1"/>
  <c r="D28" i="3"/>
  <c r="D29" i="3" s="1"/>
  <c r="C28" i="3"/>
  <c r="C29" i="3" s="1"/>
  <c r="V24" i="3"/>
  <c r="U24" i="3"/>
  <c r="F24" i="3"/>
  <c r="C24" i="3"/>
  <c r="AN23" i="3"/>
  <c r="AN24" i="3" s="1"/>
  <c r="AM23" i="3"/>
  <c r="AM24" i="3" s="1"/>
  <c r="AL23" i="3"/>
  <c r="AL24" i="3" s="1"/>
  <c r="AK23" i="3"/>
  <c r="AK24" i="3" s="1"/>
  <c r="AJ23" i="3"/>
  <c r="AJ24" i="3" s="1"/>
  <c r="AI23" i="3"/>
  <c r="AI24" i="3" s="1"/>
  <c r="AH23" i="3"/>
  <c r="AH24" i="3" s="1"/>
  <c r="AG23" i="3"/>
  <c r="AG24" i="3" s="1"/>
  <c r="AF23" i="3"/>
  <c r="AF24" i="3" s="1"/>
  <c r="AE23" i="3"/>
  <c r="AE24" i="3" s="1"/>
  <c r="AD23" i="3"/>
  <c r="AD24" i="3" s="1"/>
  <c r="AC23" i="3"/>
  <c r="AC24" i="3" s="1"/>
  <c r="AB23" i="3"/>
  <c r="AB24" i="3" s="1"/>
  <c r="AA23" i="3"/>
  <c r="AA24" i="3" s="1"/>
  <c r="Z23" i="3"/>
  <c r="Z24" i="3" s="1"/>
  <c r="Y23" i="3"/>
  <c r="Y24" i="3" s="1"/>
  <c r="X23" i="3"/>
  <c r="X24" i="3" s="1"/>
  <c r="W23" i="3"/>
  <c r="W24" i="3" s="1"/>
  <c r="V23" i="3"/>
  <c r="U23" i="3"/>
  <c r="T23" i="3"/>
  <c r="T24" i="3" s="1"/>
  <c r="S23" i="3"/>
  <c r="S24" i="3" s="1"/>
  <c r="R23" i="3"/>
  <c r="R24" i="3" s="1"/>
  <c r="Q23" i="3"/>
  <c r="Q24" i="3" s="1"/>
  <c r="P23" i="3"/>
  <c r="P24" i="3" s="1"/>
  <c r="O23" i="3"/>
  <c r="O24" i="3" s="1"/>
  <c r="N23" i="3"/>
  <c r="N24" i="3" s="1"/>
  <c r="M23" i="3"/>
  <c r="M24" i="3" s="1"/>
  <c r="L23" i="3"/>
  <c r="L24" i="3" s="1"/>
  <c r="K23" i="3"/>
  <c r="K24" i="3" s="1"/>
  <c r="J23" i="3"/>
  <c r="J24" i="3" s="1"/>
  <c r="I23" i="3"/>
  <c r="I24" i="3" s="1"/>
  <c r="H23" i="3"/>
  <c r="H24" i="3" s="1"/>
  <c r="G23" i="3"/>
  <c r="G24" i="3" s="1"/>
  <c r="F23" i="3"/>
  <c r="E23" i="3"/>
  <c r="E24" i="3" s="1"/>
  <c r="D23" i="3"/>
  <c r="D24" i="3" s="1"/>
  <c r="C23" i="3"/>
  <c r="AM19" i="3"/>
  <c r="AL19" i="3"/>
  <c r="X19" i="3"/>
  <c r="W19" i="3"/>
  <c r="V19" i="3"/>
  <c r="T19" i="3"/>
  <c r="H19" i="3"/>
  <c r="G19" i="3"/>
  <c r="F19" i="3"/>
  <c r="AB19" i="3"/>
  <c r="AA19" i="3"/>
  <c r="K19" i="3"/>
  <c r="J19" i="3"/>
  <c r="AN13" i="3"/>
  <c r="AN14" i="3" s="1"/>
  <c r="AM13" i="3"/>
  <c r="AM14" i="3" s="1"/>
  <c r="AL13" i="3"/>
  <c r="AL14" i="3" s="1"/>
  <c r="AK13" i="3"/>
  <c r="AK14" i="3" s="1"/>
  <c r="AJ13" i="3"/>
  <c r="AJ14" i="3" s="1"/>
  <c r="AI13" i="3"/>
  <c r="AI14" i="3" s="1"/>
  <c r="AH13" i="3"/>
  <c r="AH14" i="3" s="1"/>
  <c r="AG13" i="3"/>
  <c r="AG14" i="3" s="1"/>
  <c r="AF13" i="3"/>
  <c r="AF14" i="3" s="1"/>
  <c r="AE13" i="3"/>
  <c r="AE14" i="3" s="1"/>
  <c r="AD13" i="3"/>
  <c r="AD14" i="3" s="1"/>
  <c r="AC13" i="3"/>
  <c r="AC14" i="3" s="1"/>
  <c r="AB13" i="3"/>
  <c r="AB14" i="3" s="1"/>
  <c r="AA13" i="3"/>
  <c r="AA14" i="3" s="1"/>
  <c r="Z13" i="3"/>
  <c r="Z14" i="3" s="1"/>
  <c r="Y13" i="3"/>
  <c r="Y14" i="3" s="1"/>
  <c r="X13" i="3"/>
  <c r="X14" i="3" s="1"/>
  <c r="W13" i="3"/>
  <c r="W14" i="3" s="1"/>
  <c r="V13" i="3"/>
  <c r="V14" i="3" s="1"/>
  <c r="U13" i="3"/>
  <c r="U14" i="3" s="1"/>
  <c r="T13" i="3"/>
  <c r="T14" i="3" s="1"/>
  <c r="S13" i="3"/>
  <c r="S14" i="3" s="1"/>
  <c r="R13" i="3"/>
  <c r="R14" i="3" s="1"/>
  <c r="Q13" i="3"/>
  <c r="Q14" i="3" s="1"/>
  <c r="P13" i="3"/>
  <c r="P14" i="3" s="1"/>
  <c r="O13" i="3"/>
  <c r="O14" i="3" s="1"/>
  <c r="N13" i="3"/>
  <c r="N14" i="3" s="1"/>
  <c r="M13" i="3"/>
  <c r="M14" i="3" s="1"/>
  <c r="L13" i="3"/>
  <c r="L14" i="3" s="1"/>
  <c r="K13" i="3"/>
  <c r="K14" i="3" s="1"/>
  <c r="J13" i="3"/>
  <c r="J14" i="3" s="1"/>
  <c r="I13" i="3"/>
  <c r="I14" i="3" s="1"/>
  <c r="H13" i="3"/>
  <c r="H14" i="3" s="1"/>
  <c r="G13" i="3"/>
  <c r="G14" i="3" s="1"/>
  <c r="F13" i="3"/>
  <c r="F14" i="3" s="1"/>
  <c r="E13" i="3"/>
  <c r="E14" i="3" s="1"/>
  <c r="D13" i="3"/>
  <c r="D14" i="3" s="1"/>
  <c r="C13" i="3"/>
  <c r="C14" i="3" s="1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18" i="2"/>
  <c r="E18" i="2"/>
  <c r="F18" i="2"/>
  <c r="F19" i="2" s="1"/>
  <c r="G18" i="2"/>
  <c r="H18" i="2"/>
  <c r="H19" i="2" s="1"/>
  <c r="I18" i="2"/>
  <c r="I19" i="2" s="1"/>
  <c r="J18" i="2"/>
  <c r="K18" i="2"/>
  <c r="K19" i="2" s="1"/>
  <c r="L18" i="2"/>
  <c r="M18" i="2"/>
  <c r="N18" i="2"/>
  <c r="O18" i="2"/>
  <c r="O19" i="2" s="1"/>
  <c r="P18" i="2"/>
  <c r="Q18" i="2"/>
  <c r="Q19" i="2" s="1"/>
  <c r="R18" i="2"/>
  <c r="R19" i="2" s="1"/>
  <c r="S18" i="2"/>
  <c r="S19" i="2" s="1"/>
  <c r="T18" i="2"/>
  <c r="U18" i="2"/>
  <c r="V18" i="2"/>
  <c r="W18" i="2"/>
  <c r="W19" i="2" s="1"/>
  <c r="X18" i="2"/>
  <c r="X19" i="2" s="1"/>
  <c r="Y18" i="2"/>
  <c r="Z18" i="2"/>
  <c r="Z19" i="2" s="1"/>
  <c r="AA18" i="2"/>
  <c r="AA19" i="2" s="1"/>
  <c r="AB18" i="2"/>
  <c r="AB19" i="2" s="1"/>
  <c r="AC18" i="2"/>
  <c r="AC19" i="2" s="1"/>
  <c r="AD18" i="2"/>
  <c r="AD19" i="2" s="1"/>
  <c r="AE18" i="2"/>
  <c r="AE19" i="2" s="1"/>
  <c r="AF18" i="2"/>
  <c r="AF19" i="2" s="1"/>
  <c r="AG18" i="2"/>
  <c r="AG19" i="2" s="1"/>
  <c r="AH18" i="2"/>
  <c r="AH19" i="2" s="1"/>
  <c r="AI18" i="2"/>
  <c r="AI19" i="2" s="1"/>
  <c r="AJ18" i="2"/>
  <c r="AJ19" i="2" s="1"/>
  <c r="AK18" i="2"/>
  <c r="AL18" i="2"/>
  <c r="AL19" i="2" s="1"/>
  <c r="AM18" i="2"/>
  <c r="AM19" i="2" s="1"/>
  <c r="AN18" i="2"/>
  <c r="C18" i="2"/>
  <c r="AN28" i="2"/>
  <c r="AN29" i="2" s="1"/>
  <c r="AM28" i="2"/>
  <c r="AM29" i="2" s="1"/>
  <c r="AL28" i="2"/>
  <c r="AL29" i="2" s="1"/>
  <c r="AK28" i="2"/>
  <c r="AK29" i="2" s="1"/>
  <c r="AJ28" i="2"/>
  <c r="AJ29" i="2" s="1"/>
  <c r="AI28" i="2"/>
  <c r="AI29" i="2" s="1"/>
  <c r="AH28" i="2"/>
  <c r="AH29" i="2" s="1"/>
  <c r="AG28" i="2"/>
  <c r="AG29" i="2" s="1"/>
  <c r="AF28" i="2"/>
  <c r="AF29" i="2" s="1"/>
  <c r="AE28" i="2"/>
  <c r="AE29" i="2" s="1"/>
  <c r="AD28" i="2"/>
  <c r="AD29" i="2" s="1"/>
  <c r="AC28" i="2"/>
  <c r="AC29" i="2" s="1"/>
  <c r="AB28" i="2"/>
  <c r="AB29" i="2" s="1"/>
  <c r="AA28" i="2"/>
  <c r="AA29" i="2" s="1"/>
  <c r="Z28" i="2"/>
  <c r="Z29" i="2" s="1"/>
  <c r="Y28" i="2"/>
  <c r="Y29" i="2" s="1"/>
  <c r="X28" i="2"/>
  <c r="X29" i="2" s="1"/>
  <c r="W28" i="2"/>
  <c r="W29" i="2" s="1"/>
  <c r="V28" i="2"/>
  <c r="V29" i="2" s="1"/>
  <c r="U28" i="2"/>
  <c r="U29" i="2" s="1"/>
  <c r="T28" i="2"/>
  <c r="T29" i="2" s="1"/>
  <c r="S28" i="2"/>
  <c r="S29" i="2" s="1"/>
  <c r="R28" i="2"/>
  <c r="R29" i="2" s="1"/>
  <c r="Q28" i="2"/>
  <c r="Q29" i="2" s="1"/>
  <c r="P28" i="2"/>
  <c r="P29" i="2" s="1"/>
  <c r="O28" i="2"/>
  <c r="O29" i="2" s="1"/>
  <c r="N28" i="2"/>
  <c r="N29" i="2" s="1"/>
  <c r="M28" i="2"/>
  <c r="M29" i="2" s="1"/>
  <c r="L28" i="2"/>
  <c r="L29" i="2" s="1"/>
  <c r="K28" i="2"/>
  <c r="K29" i="2" s="1"/>
  <c r="J28" i="2"/>
  <c r="J29" i="2" s="1"/>
  <c r="I28" i="2"/>
  <c r="I29" i="2" s="1"/>
  <c r="H28" i="2"/>
  <c r="H29" i="2" s="1"/>
  <c r="G28" i="2"/>
  <c r="G29" i="2" s="1"/>
  <c r="F28" i="2"/>
  <c r="F29" i="2" s="1"/>
  <c r="E28" i="2"/>
  <c r="E29" i="2" s="1"/>
  <c r="D28" i="2"/>
  <c r="D29" i="2" s="1"/>
  <c r="C28" i="2"/>
  <c r="C29" i="2" s="1"/>
  <c r="AN23" i="2"/>
  <c r="AN24" i="2" s="1"/>
  <c r="AM23" i="2"/>
  <c r="AM24" i="2" s="1"/>
  <c r="AL23" i="2"/>
  <c r="AL24" i="2" s="1"/>
  <c r="AK23" i="2"/>
  <c r="AK24" i="2" s="1"/>
  <c r="AJ23" i="2"/>
  <c r="AJ24" i="2" s="1"/>
  <c r="AI23" i="2"/>
  <c r="AI24" i="2" s="1"/>
  <c r="AH23" i="2"/>
  <c r="AH24" i="2" s="1"/>
  <c r="AG23" i="2"/>
  <c r="AG24" i="2" s="1"/>
  <c r="AF23" i="2"/>
  <c r="AF24" i="2" s="1"/>
  <c r="AE23" i="2"/>
  <c r="AE24" i="2" s="1"/>
  <c r="AD23" i="2"/>
  <c r="AD24" i="2" s="1"/>
  <c r="AC23" i="2"/>
  <c r="AC24" i="2" s="1"/>
  <c r="AB23" i="2"/>
  <c r="AB24" i="2" s="1"/>
  <c r="AA23" i="2"/>
  <c r="AA24" i="2" s="1"/>
  <c r="Z23" i="2"/>
  <c r="Z24" i="2" s="1"/>
  <c r="Y23" i="2"/>
  <c r="Y24" i="2" s="1"/>
  <c r="X23" i="2"/>
  <c r="X24" i="2" s="1"/>
  <c r="W23" i="2"/>
  <c r="W24" i="2" s="1"/>
  <c r="V23" i="2"/>
  <c r="V24" i="2" s="1"/>
  <c r="U23" i="2"/>
  <c r="U24" i="2" s="1"/>
  <c r="T23" i="2"/>
  <c r="T24" i="2" s="1"/>
  <c r="S23" i="2"/>
  <c r="S24" i="2" s="1"/>
  <c r="R23" i="2"/>
  <c r="R24" i="2" s="1"/>
  <c r="Q23" i="2"/>
  <c r="Q24" i="2" s="1"/>
  <c r="P23" i="2"/>
  <c r="P24" i="2" s="1"/>
  <c r="O23" i="2"/>
  <c r="O24" i="2" s="1"/>
  <c r="N23" i="2"/>
  <c r="N24" i="2" s="1"/>
  <c r="M23" i="2"/>
  <c r="M24" i="2" s="1"/>
  <c r="L23" i="2"/>
  <c r="L24" i="2" s="1"/>
  <c r="K23" i="2"/>
  <c r="K24" i="2" s="1"/>
  <c r="J23" i="2"/>
  <c r="J24" i="2" s="1"/>
  <c r="I23" i="2"/>
  <c r="I24" i="2" s="1"/>
  <c r="H23" i="2"/>
  <c r="H24" i="2" s="1"/>
  <c r="G23" i="2"/>
  <c r="G24" i="2" s="1"/>
  <c r="F23" i="2"/>
  <c r="F24" i="2" s="1"/>
  <c r="E23" i="2"/>
  <c r="E24" i="2" s="1"/>
  <c r="D23" i="2"/>
  <c r="D24" i="2" s="1"/>
  <c r="C23" i="2"/>
  <c r="C24" i="2" s="1"/>
  <c r="V19" i="2"/>
  <c r="T19" i="2"/>
  <c r="M19" i="2"/>
  <c r="D19" i="2"/>
  <c r="AN19" i="2"/>
  <c r="AK19" i="2"/>
  <c r="Y19" i="2"/>
  <c r="U19" i="2"/>
  <c r="P19" i="2"/>
  <c r="N19" i="2"/>
  <c r="L19" i="2"/>
  <c r="J19" i="2"/>
  <c r="G19" i="2"/>
  <c r="E19" i="2"/>
  <c r="C19" i="2"/>
  <c r="AJ14" i="2"/>
  <c r="Q14" i="2"/>
  <c r="AN13" i="2"/>
  <c r="AN14" i="2" s="1"/>
  <c r="AM13" i="2"/>
  <c r="AM14" i="2" s="1"/>
  <c r="AL13" i="2"/>
  <c r="AL14" i="2" s="1"/>
  <c r="AK13" i="2"/>
  <c r="AK14" i="2" s="1"/>
  <c r="AJ13" i="2"/>
  <c r="AI13" i="2"/>
  <c r="AI14" i="2" s="1"/>
  <c r="AH13" i="2"/>
  <c r="AH14" i="2" s="1"/>
  <c r="AG13" i="2"/>
  <c r="AG14" i="2" s="1"/>
  <c r="AF13" i="2"/>
  <c r="AF14" i="2" s="1"/>
  <c r="AE13" i="2"/>
  <c r="AE14" i="2" s="1"/>
  <c r="AD13" i="2"/>
  <c r="AD14" i="2" s="1"/>
  <c r="AC13" i="2"/>
  <c r="AC14" i="2" s="1"/>
  <c r="AB13" i="2"/>
  <c r="AB14" i="2" s="1"/>
  <c r="AA13" i="2"/>
  <c r="AA14" i="2" s="1"/>
  <c r="Z13" i="2"/>
  <c r="Z14" i="2" s="1"/>
  <c r="Y13" i="2"/>
  <c r="Y14" i="2" s="1"/>
  <c r="X13" i="2"/>
  <c r="X14" i="2" s="1"/>
  <c r="W13" i="2"/>
  <c r="W14" i="2" s="1"/>
  <c r="V13" i="2"/>
  <c r="V14" i="2" s="1"/>
  <c r="U13" i="2"/>
  <c r="U14" i="2" s="1"/>
  <c r="T13" i="2"/>
  <c r="T14" i="2" s="1"/>
  <c r="S13" i="2"/>
  <c r="S14" i="2" s="1"/>
  <c r="R13" i="2"/>
  <c r="R14" i="2" s="1"/>
  <c r="Q13" i="2"/>
  <c r="P13" i="2"/>
  <c r="P14" i="2" s="1"/>
  <c r="O13" i="2"/>
  <c r="O14" i="2" s="1"/>
  <c r="N13" i="2"/>
  <c r="N14" i="2" s="1"/>
  <c r="M13" i="2"/>
  <c r="M14" i="2" s="1"/>
  <c r="L13" i="2"/>
  <c r="L14" i="2" s="1"/>
  <c r="K13" i="2"/>
  <c r="K14" i="2" s="1"/>
  <c r="J13" i="2"/>
  <c r="J14" i="2" s="1"/>
  <c r="I13" i="2"/>
  <c r="I14" i="2" s="1"/>
  <c r="H13" i="2"/>
  <c r="H14" i="2" s="1"/>
  <c r="G13" i="2"/>
  <c r="G14" i="2" s="1"/>
  <c r="F13" i="2"/>
  <c r="F14" i="2" s="1"/>
  <c r="E13" i="2"/>
  <c r="E14" i="2" s="1"/>
  <c r="D13" i="2"/>
  <c r="D14" i="2" s="1"/>
  <c r="C13" i="2"/>
  <c r="C14" i="2" s="1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N22" i="1"/>
  <c r="D31" i="1"/>
  <c r="D32" i="1" s="1"/>
  <c r="E31" i="1"/>
  <c r="E32" i="1" s="1"/>
  <c r="F31" i="1"/>
  <c r="F32" i="1" s="1"/>
  <c r="G31" i="1"/>
  <c r="G32" i="1" s="1"/>
  <c r="H31" i="1"/>
  <c r="H32" i="1" s="1"/>
  <c r="I31" i="1"/>
  <c r="I32" i="1" s="1"/>
  <c r="J31" i="1"/>
  <c r="J32" i="1" s="1"/>
  <c r="K31" i="1"/>
  <c r="K32" i="1" s="1"/>
  <c r="L31" i="1"/>
  <c r="L32" i="1" s="1"/>
  <c r="M31" i="1"/>
  <c r="M32" i="1" s="1"/>
  <c r="N31" i="1"/>
  <c r="N32" i="1" s="1"/>
  <c r="O31" i="1"/>
  <c r="O32" i="1" s="1"/>
  <c r="P31" i="1"/>
  <c r="P32" i="1" s="1"/>
  <c r="Q31" i="1"/>
  <c r="Q32" i="1" s="1"/>
  <c r="R31" i="1"/>
  <c r="R32" i="1" s="1"/>
  <c r="S31" i="1"/>
  <c r="S32" i="1" s="1"/>
  <c r="T31" i="1"/>
  <c r="T32" i="1" s="1"/>
  <c r="U31" i="1"/>
  <c r="U32" i="1" s="1"/>
  <c r="V31" i="1"/>
  <c r="V32" i="1" s="1"/>
  <c r="W31" i="1"/>
  <c r="W32" i="1" s="1"/>
  <c r="X31" i="1"/>
  <c r="X32" i="1" s="1"/>
  <c r="Y31" i="1"/>
  <c r="Y32" i="1" s="1"/>
  <c r="Z31" i="1"/>
  <c r="Z32" i="1" s="1"/>
  <c r="AA31" i="1"/>
  <c r="AA32" i="1" s="1"/>
  <c r="AB31" i="1"/>
  <c r="AB32" i="1" s="1"/>
  <c r="AC31" i="1"/>
  <c r="AC32" i="1" s="1"/>
  <c r="AD31" i="1"/>
  <c r="AD32" i="1" s="1"/>
  <c r="AE31" i="1"/>
  <c r="AE32" i="1" s="1"/>
  <c r="AF31" i="1"/>
  <c r="AF32" i="1" s="1"/>
  <c r="AG31" i="1"/>
  <c r="AG32" i="1" s="1"/>
  <c r="AH31" i="1"/>
  <c r="AH32" i="1" s="1"/>
  <c r="AI31" i="1"/>
  <c r="AI32" i="1" s="1"/>
  <c r="AJ31" i="1"/>
  <c r="AJ32" i="1" s="1"/>
  <c r="AK31" i="1"/>
  <c r="AK32" i="1" s="1"/>
  <c r="AL31" i="1"/>
  <c r="AL32" i="1" s="1"/>
  <c r="AM31" i="1"/>
  <c r="AM32" i="1" s="1"/>
  <c r="AN31" i="1"/>
  <c r="D26" i="1"/>
  <c r="D27" i="1" s="1"/>
  <c r="E26" i="1"/>
  <c r="E27" i="1" s="1"/>
  <c r="F26" i="1"/>
  <c r="F27" i="1" s="1"/>
  <c r="G26" i="1"/>
  <c r="G27" i="1" s="1"/>
  <c r="H26" i="1"/>
  <c r="H27" i="1" s="1"/>
  <c r="I26" i="1"/>
  <c r="I27" i="1" s="1"/>
  <c r="J26" i="1"/>
  <c r="J27" i="1" s="1"/>
  <c r="K26" i="1"/>
  <c r="K27" i="1" s="1"/>
  <c r="L26" i="1"/>
  <c r="L27" i="1" s="1"/>
  <c r="M26" i="1"/>
  <c r="M27" i="1" s="1"/>
  <c r="N26" i="1"/>
  <c r="N27" i="1" s="1"/>
  <c r="O26" i="1"/>
  <c r="O27" i="1" s="1"/>
  <c r="P26" i="1"/>
  <c r="P27" i="1" s="1"/>
  <c r="Q26" i="1"/>
  <c r="Q27" i="1" s="1"/>
  <c r="R26" i="1"/>
  <c r="R27" i="1" s="1"/>
  <c r="S26" i="1"/>
  <c r="S27" i="1" s="1"/>
  <c r="T26" i="1"/>
  <c r="T27" i="1" s="1"/>
  <c r="U26" i="1"/>
  <c r="U27" i="1" s="1"/>
  <c r="V26" i="1"/>
  <c r="V27" i="1" s="1"/>
  <c r="W26" i="1"/>
  <c r="W27" i="1" s="1"/>
  <c r="X26" i="1"/>
  <c r="X27" i="1" s="1"/>
  <c r="Y26" i="1"/>
  <c r="Y27" i="1" s="1"/>
  <c r="Z26" i="1"/>
  <c r="Z27" i="1" s="1"/>
  <c r="AA26" i="1"/>
  <c r="AA27" i="1" s="1"/>
  <c r="AB26" i="1"/>
  <c r="AB27" i="1" s="1"/>
  <c r="AC26" i="1"/>
  <c r="AC27" i="1" s="1"/>
  <c r="AD26" i="1"/>
  <c r="AD27" i="1" s="1"/>
  <c r="AE26" i="1"/>
  <c r="AE27" i="1" s="1"/>
  <c r="AF26" i="1"/>
  <c r="AF27" i="1" s="1"/>
  <c r="AG26" i="1"/>
  <c r="AG27" i="1" s="1"/>
  <c r="AH26" i="1"/>
  <c r="AH27" i="1" s="1"/>
  <c r="AI26" i="1"/>
  <c r="AI27" i="1" s="1"/>
  <c r="AJ26" i="1"/>
  <c r="AJ27" i="1" s="1"/>
  <c r="AK26" i="1"/>
  <c r="AK27" i="1" s="1"/>
  <c r="AL26" i="1"/>
  <c r="AL27" i="1" s="1"/>
  <c r="AM26" i="1"/>
  <c r="AM27" i="1" s="1"/>
  <c r="AN26" i="1"/>
  <c r="D22" i="1"/>
  <c r="R22" i="1"/>
  <c r="V22" i="1"/>
  <c r="Z22" i="1"/>
  <c r="AA22" i="1"/>
  <c r="AL22" i="1"/>
  <c r="AM22" i="1"/>
  <c r="C31" i="1"/>
  <c r="C32" i="1" s="1"/>
  <c r="C26" i="1"/>
  <c r="C27" i="1" s="1"/>
  <c r="D16" i="1"/>
  <c r="D17" i="1" s="1"/>
  <c r="E16" i="1"/>
  <c r="E17" i="1" s="1"/>
  <c r="F16" i="1"/>
  <c r="F17" i="1" s="1"/>
  <c r="G16" i="1"/>
  <c r="G17" i="1" s="1"/>
  <c r="H16" i="1"/>
  <c r="H17" i="1" s="1"/>
  <c r="I16" i="1"/>
  <c r="I17" i="1" s="1"/>
  <c r="J16" i="1"/>
  <c r="J17" i="1" s="1"/>
  <c r="K16" i="1"/>
  <c r="K17" i="1" s="1"/>
  <c r="L16" i="1"/>
  <c r="L17" i="1" s="1"/>
  <c r="M16" i="1"/>
  <c r="M17" i="1" s="1"/>
  <c r="N16" i="1"/>
  <c r="N17" i="1" s="1"/>
  <c r="O16" i="1"/>
  <c r="O17" i="1" s="1"/>
  <c r="P16" i="1"/>
  <c r="P17" i="1" s="1"/>
  <c r="Q16" i="1"/>
  <c r="Q17" i="1" s="1"/>
  <c r="R16" i="1"/>
  <c r="R17" i="1" s="1"/>
  <c r="S16" i="1"/>
  <c r="S17" i="1" s="1"/>
  <c r="T16" i="1"/>
  <c r="T17" i="1" s="1"/>
  <c r="U16" i="1"/>
  <c r="U17" i="1" s="1"/>
  <c r="V16" i="1"/>
  <c r="V17" i="1" s="1"/>
  <c r="W16" i="1"/>
  <c r="W17" i="1" s="1"/>
  <c r="X16" i="1"/>
  <c r="X17" i="1" s="1"/>
  <c r="Y16" i="1"/>
  <c r="Y17" i="1" s="1"/>
  <c r="Z16" i="1"/>
  <c r="Z17" i="1" s="1"/>
  <c r="AA16" i="1"/>
  <c r="AA17" i="1" s="1"/>
  <c r="AB16" i="1"/>
  <c r="AB17" i="1" s="1"/>
  <c r="AC16" i="1"/>
  <c r="AC17" i="1" s="1"/>
  <c r="AD16" i="1"/>
  <c r="AD17" i="1" s="1"/>
  <c r="AE16" i="1"/>
  <c r="AE17" i="1" s="1"/>
  <c r="AF16" i="1"/>
  <c r="AF17" i="1" s="1"/>
  <c r="AG16" i="1"/>
  <c r="AG17" i="1" s="1"/>
  <c r="AH16" i="1"/>
  <c r="AH17" i="1" s="1"/>
  <c r="AI16" i="1"/>
  <c r="AI17" i="1" s="1"/>
  <c r="AJ16" i="1"/>
  <c r="AJ17" i="1" s="1"/>
  <c r="AK16" i="1"/>
  <c r="AK17" i="1" s="1"/>
  <c r="AL16" i="1"/>
  <c r="AL17" i="1" s="1"/>
  <c r="AM16" i="1"/>
  <c r="AM17" i="1" s="1"/>
  <c r="AN16" i="1"/>
  <c r="C16" i="1"/>
  <c r="C17" i="1" s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T16" i="1" s="1"/>
  <c r="AT17" i="1" s="1"/>
  <c r="AT18" i="1" s="1"/>
  <c r="AT19" i="1" s="1"/>
  <c r="AT20" i="1" s="1"/>
  <c r="AT21" i="1" s="1"/>
  <c r="AT22" i="1" s="1"/>
  <c r="AT23" i="1" s="1"/>
  <c r="AT24" i="1" s="1"/>
  <c r="AT25" i="1" s="1"/>
  <c r="AT26" i="1" s="1"/>
  <c r="AT27" i="1" s="1"/>
  <c r="AT28" i="1" s="1"/>
  <c r="AT29" i="1" s="1"/>
  <c r="AT30" i="1" s="1"/>
  <c r="AT31" i="1" s="1"/>
  <c r="AT32" i="1" s="1"/>
  <c r="AT33" i="1" s="1"/>
  <c r="AT34" i="1" s="1"/>
  <c r="AT35" i="1" s="1"/>
  <c r="AT36" i="1" s="1"/>
  <c r="AT37" i="1" s="1"/>
  <c r="AT38" i="1" s="1"/>
  <c r="AT39" i="1" s="1"/>
  <c r="AT40" i="1" s="1"/>
  <c r="AT41" i="1" s="1"/>
  <c r="AT42" i="1" s="1"/>
  <c r="AT43" i="1" s="1"/>
  <c r="AT44" i="1" s="1"/>
  <c r="AT45" i="1" s="1"/>
  <c r="AT46" i="1" s="1"/>
  <c r="AT47" i="1" s="1"/>
  <c r="AT48" i="1" s="1"/>
  <c r="AT49" i="1" s="1"/>
  <c r="C12" i="1"/>
  <c r="AW19" i="2" l="1"/>
  <c r="BC16" i="1"/>
  <c r="BF16" i="1"/>
  <c r="AW16" i="1"/>
  <c r="AZ16" i="1"/>
  <c r="AN32" i="1"/>
  <c r="AV17" i="1"/>
  <c r="AV18" i="1" s="1"/>
  <c r="AV19" i="1" s="1"/>
  <c r="AV20" i="1" s="1"/>
  <c r="AV21" i="1" s="1"/>
  <c r="AV22" i="1" s="1"/>
  <c r="AV23" i="1" s="1"/>
  <c r="AV24" i="1" s="1"/>
  <c r="AV25" i="1" s="1"/>
  <c r="AV26" i="1" s="1"/>
  <c r="AV27" i="1" s="1"/>
  <c r="AV28" i="1" s="1"/>
  <c r="AV29" i="1" s="1"/>
  <c r="AV30" i="1" s="1"/>
  <c r="AV31" i="1" s="1"/>
  <c r="AV32" i="1" s="1"/>
  <c r="AV33" i="1" s="1"/>
  <c r="AV34" i="1" s="1"/>
  <c r="AV35" i="1" s="1"/>
  <c r="AV36" i="1" s="1"/>
  <c r="AV37" i="1" s="1"/>
  <c r="AV38" i="1" s="1"/>
  <c r="AV39" i="1" s="1"/>
  <c r="AV40" i="1" s="1"/>
  <c r="AV41" i="1" s="1"/>
  <c r="AV42" i="1" s="1"/>
  <c r="AV43" i="1" s="1"/>
  <c r="AV44" i="1" s="1"/>
  <c r="AV45" i="1" s="1"/>
  <c r="AV46" i="1" s="1"/>
  <c r="AV47" i="1" s="1"/>
  <c r="AV48" i="1" s="1"/>
  <c r="AV49" i="1" s="1"/>
  <c r="AW17" i="1"/>
  <c r="AN27" i="1"/>
  <c r="Z13" i="1"/>
  <c r="Z28" i="1" s="1"/>
  <c r="AN17" i="1"/>
  <c r="AN13" i="1" s="1"/>
  <c r="Z23" i="1"/>
  <c r="T13" i="1"/>
  <c r="T18" i="1" s="1"/>
  <c r="H10" i="3"/>
  <c r="AL10" i="3"/>
  <c r="AL20" i="3" s="1"/>
  <c r="E10" i="3"/>
  <c r="E25" i="3" s="1"/>
  <c r="U10" i="3"/>
  <c r="X13" i="1"/>
  <c r="X23" i="1" s="1"/>
  <c r="AI13" i="1"/>
  <c r="AI23" i="1" s="1"/>
  <c r="S13" i="1"/>
  <c r="W13" i="1"/>
  <c r="I13" i="1"/>
  <c r="I23" i="1" s="1"/>
  <c r="V13" i="1"/>
  <c r="Y13" i="1"/>
  <c r="Y23" i="1" s="1"/>
  <c r="AG13" i="1"/>
  <c r="AG23" i="1" s="1"/>
  <c r="Q13" i="1"/>
  <c r="Q23" i="1" s="1"/>
  <c r="U13" i="1"/>
  <c r="AE10" i="3"/>
  <c r="AE25" i="3" s="1"/>
  <c r="AI10" i="3"/>
  <c r="AI25" i="3" s="1"/>
  <c r="Y10" i="3"/>
  <c r="Y30" i="3" s="1"/>
  <c r="M10" i="3"/>
  <c r="M15" i="3" s="1"/>
  <c r="AG10" i="3"/>
  <c r="AG30" i="3" s="1"/>
  <c r="D10" i="3"/>
  <c r="D25" i="3" s="1"/>
  <c r="D15" i="3"/>
  <c r="T10" i="3"/>
  <c r="T25" i="3" s="1"/>
  <c r="AJ10" i="3"/>
  <c r="AJ20" i="3" s="1"/>
  <c r="H20" i="3"/>
  <c r="AJ25" i="3"/>
  <c r="AA10" i="3"/>
  <c r="AA20" i="3" s="1"/>
  <c r="O10" i="3"/>
  <c r="O15" i="3" s="1"/>
  <c r="U25" i="3"/>
  <c r="AF10" i="3"/>
  <c r="AF20" i="3" s="1"/>
  <c r="L10" i="3"/>
  <c r="L20" i="3" s="1"/>
  <c r="R10" i="3"/>
  <c r="R30" i="3" s="1"/>
  <c r="X10" i="3"/>
  <c r="X20" i="3" s="1"/>
  <c r="C10" i="3"/>
  <c r="C20" i="3" s="1"/>
  <c r="H25" i="3"/>
  <c r="AL25" i="3"/>
  <c r="AC10" i="3"/>
  <c r="AC30" i="3" s="1"/>
  <c r="AD10" i="3"/>
  <c r="AD15" i="3" s="1"/>
  <c r="P10" i="3"/>
  <c r="P20" i="3" s="1"/>
  <c r="Q10" i="3"/>
  <c r="Q25" i="3" s="1"/>
  <c r="AM10" i="3"/>
  <c r="AM30" i="3" s="1"/>
  <c r="U20" i="3"/>
  <c r="H30" i="3"/>
  <c r="AN10" i="3"/>
  <c r="AN25" i="3" s="1"/>
  <c r="W10" i="3"/>
  <c r="W25" i="3" s="1"/>
  <c r="AH10" i="3"/>
  <c r="AH15" i="3" s="1"/>
  <c r="S10" i="3"/>
  <c r="S30" i="3" s="1"/>
  <c r="S20" i="3"/>
  <c r="U30" i="3"/>
  <c r="K10" i="3"/>
  <c r="K30" i="3" s="1"/>
  <c r="AB10" i="3"/>
  <c r="AB15" i="3" s="1"/>
  <c r="N10" i="3"/>
  <c r="N30" i="3" s="1"/>
  <c r="AB30" i="3"/>
  <c r="AL30" i="3"/>
  <c r="AK10" i="3"/>
  <c r="AK30" i="3" s="1"/>
  <c r="V10" i="3"/>
  <c r="V25" i="3" s="1"/>
  <c r="G10" i="3"/>
  <c r="G20" i="3" s="1"/>
  <c r="U15" i="3"/>
  <c r="J10" i="3"/>
  <c r="J20" i="3" s="1"/>
  <c r="Z10" i="3"/>
  <c r="Z25" i="3" s="1"/>
  <c r="H15" i="3"/>
  <c r="I10" i="3"/>
  <c r="I30" i="3" s="1"/>
  <c r="F10" i="3"/>
  <c r="F15" i="3" s="1"/>
  <c r="G10" i="2"/>
  <c r="G15" i="2" s="1"/>
  <c r="W10" i="2"/>
  <c r="W20" i="2" s="1"/>
  <c r="AM10" i="2"/>
  <c r="AM30" i="2" s="1"/>
  <c r="I10" i="2"/>
  <c r="I30" i="2" s="1"/>
  <c r="Y10" i="2"/>
  <c r="Y30" i="2" s="1"/>
  <c r="C10" i="2"/>
  <c r="C25" i="2" s="1"/>
  <c r="S10" i="2"/>
  <c r="S25" i="2" s="1"/>
  <c r="S20" i="2"/>
  <c r="AI10" i="2"/>
  <c r="AI30" i="2" s="1"/>
  <c r="J10" i="2"/>
  <c r="J15" i="2" s="1"/>
  <c r="Z10" i="2"/>
  <c r="Z30" i="2" s="1"/>
  <c r="AA10" i="2"/>
  <c r="AA15" i="2" s="1"/>
  <c r="O10" i="2"/>
  <c r="O20" i="2" s="1"/>
  <c r="AE10" i="2"/>
  <c r="AE20" i="2" s="1"/>
  <c r="L10" i="2"/>
  <c r="L20" i="2" s="1"/>
  <c r="AB10" i="2"/>
  <c r="AB25" i="2" s="1"/>
  <c r="G20" i="2"/>
  <c r="M10" i="2"/>
  <c r="M20" i="2" s="1"/>
  <c r="AC10" i="2"/>
  <c r="AC30" i="2" s="1"/>
  <c r="N10" i="2"/>
  <c r="N30" i="2" s="1"/>
  <c r="N15" i="2"/>
  <c r="AD10" i="2"/>
  <c r="AD25" i="2" s="1"/>
  <c r="AD15" i="2"/>
  <c r="S15" i="2"/>
  <c r="D10" i="2"/>
  <c r="D25" i="2" s="1"/>
  <c r="T10" i="2"/>
  <c r="T20" i="2" s="1"/>
  <c r="AJ10" i="2"/>
  <c r="AJ15" i="2" s="1"/>
  <c r="R10" i="2"/>
  <c r="R20" i="2" s="1"/>
  <c r="AH10" i="2"/>
  <c r="AH30" i="2" s="1"/>
  <c r="P10" i="2"/>
  <c r="P30" i="2" s="1"/>
  <c r="K10" i="2"/>
  <c r="K20" i="2" s="1"/>
  <c r="AF10" i="2"/>
  <c r="AF25" i="2" s="1"/>
  <c r="AF15" i="2"/>
  <c r="E10" i="2"/>
  <c r="E20" i="2" s="1"/>
  <c r="U10" i="2"/>
  <c r="U30" i="2" s="1"/>
  <c r="AK10" i="2"/>
  <c r="AK30" i="2" s="1"/>
  <c r="Q10" i="2"/>
  <c r="Q25" i="2" s="1"/>
  <c r="AG10" i="2"/>
  <c r="AG20" i="2" s="1"/>
  <c r="V10" i="2"/>
  <c r="V20" i="2" s="1"/>
  <c r="AL10" i="2"/>
  <c r="AL25" i="2" s="1"/>
  <c r="F10" i="2"/>
  <c r="F25" i="2" s="1"/>
  <c r="H10" i="2"/>
  <c r="H25" i="2" s="1"/>
  <c r="X10" i="2"/>
  <c r="X15" i="2" s="1"/>
  <c r="AN10" i="2"/>
  <c r="AN30" i="2" s="1"/>
  <c r="R13" i="1"/>
  <c r="J13" i="1"/>
  <c r="AH13" i="1"/>
  <c r="AH23" i="1" s="1"/>
  <c r="H13" i="1"/>
  <c r="H23" i="1" s="1"/>
  <c r="AM13" i="1"/>
  <c r="G13" i="1"/>
  <c r="C13" i="1"/>
  <c r="O13" i="1"/>
  <c r="O23" i="1" s="1"/>
  <c r="N13" i="1"/>
  <c r="E13" i="1"/>
  <c r="E23" i="1" s="1"/>
  <c r="AF13" i="1"/>
  <c r="AE13" i="1"/>
  <c r="AE23" i="1" s="1"/>
  <c r="AD13" i="1"/>
  <c r="F13" i="1"/>
  <c r="M13" i="1"/>
  <c r="M23" i="1" s="1"/>
  <c r="AK13" i="1"/>
  <c r="AB13" i="1"/>
  <c r="L13" i="1"/>
  <c r="AJ13" i="1"/>
  <c r="D13" i="1"/>
  <c r="K13" i="1"/>
  <c r="K23" i="1" s="1"/>
  <c r="P13" i="1"/>
  <c r="P23" i="1" s="1"/>
  <c r="AL13" i="1"/>
  <c r="AC13" i="1"/>
  <c r="AC23" i="1" s="1"/>
  <c r="AA13" i="1"/>
  <c r="AA23" i="1" s="1"/>
  <c r="AW20" i="2" l="1"/>
  <c r="Z33" i="1"/>
  <c r="Z18" i="1"/>
  <c r="BB17" i="1"/>
  <c r="BB18" i="1" s="1"/>
  <c r="BB19" i="1" s="1"/>
  <c r="BB20" i="1" s="1"/>
  <c r="BB21" i="1" s="1"/>
  <c r="BB22" i="1" s="1"/>
  <c r="BB23" i="1" s="1"/>
  <c r="BB24" i="1" s="1"/>
  <c r="BB25" i="1" s="1"/>
  <c r="BB26" i="1" s="1"/>
  <c r="BB27" i="1" s="1"/>
  <c r="BB28" i="1" s="1"/>
  <c r="BB29" i="1" s="1"/>
  <c r="BB30" i="1" s="1"/>
  <c r="BB31" i="1" s="1"/>
  <c r="BB32" i="1" s="1"/>
  <c r="BB33" i="1" s="1"/>
  <c r="BB34" i="1" s="1"/>
  <c r="BB35" i="1" s="1"/>
  <c r="BB36" i="1" s="1"/>
  <c r="BB37" i="1" s="1"/>
  <c r="BB38" i="1" s="1"/>
  <c r="BB39" i="1" s="1"/>
  <c r="BB40" i="1" s="1"/>
  <c r="BB41" i="1" s="1"/>
  <c r="BB42" i="1" s="1"/>
  <c r="BB43" i="1" s="1"/>
  <c r="BB44" i="1" s="1"/>
  <c r="BB45" i="1" s="1"/>
  <c r="BB46" i="1" s="1"/>
  <c r="BB47" i="1" s="1"/>
  <c r="BB48" i="1" s="1"/>
  <c r="BB49" i="1" s="1"/>
  <c r="BC17" i="1"/>
  <c r="BC18" i="1" s="1"/>
  <c r="BC19" i="1" s="1"/>
  <c r="BC20" i="1" s="1"/>
  <c r="BC21" i="1" s="1"/>
  <c r="BC22" i="1" s="1"/>
  <c r="BC23" i="1" s="1"/>
  <c r="BC24" i="1" s="1"/>
  <c r="BC25" i="1" s="1"/>
  <c r="BC26" i="1" s="1"/>
  <c r="BC27" i="1" s="1"/>
  <c r="BC28" i="1" s="1"/>
  <c r="BC29" i="1" s="1"/>
  <c r="BC30" i="1" s="1"/>
  <c r="BC31" i="1" s="1"/>
  <c r="BC32" i="1" s="1"/>
  <c r="BC33" i="1" s="1"/>
  <c r="BC34" i="1" s="1"/>
  <c r="BC35" i="1" s="1"/>
  <c r="BC36" i="1" s="1"/>
  <c r="BC37" i="1" s="1"/>
  <c r="BC38" i="1" s="1"/>
  <c r="BC39" i="1" s="1"/>
  <c r="BC40" i="1" s="1"/>
  <c r="BC41" i="1" s="1"/>
  <c r="BC42" i="1" s="1"/>
  <c r="BC43" i="1" s="1"/>
  <c r="BC44" i="1" s="1"/>
  <c r="BC45" i="1" s="1"/>
  <c r="BC46" i="1" s="1"/>
  <c r="BC47" i="1" s="1"/>
  <c r="BC48" i="1" s="1"/>
  <c r="BC49" i="1" s="1"/>
  <c r="AY17" i="1"/>
  <c r="AY18" i="1" s="1"/>
  <c r="AY19" i="1" s="1"/>
  <c r="AY20" i="1" s="1"/>
  <c r="AY21" i="1" s="1"/>
  <c r="AY22" i="1" s="1"/>
  <c r="AY23" i="1" s="1"/>
  <c r="AY24" i="1" s="1"/>
  <c r="AY25" i="1" s="1"/>
  <c r="AY26" i="1" s="1"/>
  <c r="AY27" i="1" s="1"/>
  <c r="AY28" i="1" s="1"/>
  <c r="AY29" i="1" s="1"/>
  <c r="AY30" i="1" s="1"/>
  <c r="AY31" i="1" s="1"/>
  <c r="AY32" i="1" s="1"/>
  <c r="AY33" i="1" s="1"/>
  <c r="AY34" i="1" s="1"/>
  <c r="AY35" i="1" s="1"/>
  <c r="AY36" i="1" s="1"/>
  <c r="AY37" i="1" s="1"/>
  <c r="AY38" i="1" s="1"/>
  <c r="AY39" i="1" s="1"/>
  <c r="AY40" i="1" s="1"/>
  <c r="AY41" i="1" s="1"/>
  <c r="AY42" i="1" s="1"/>
  <c r="AY43" i="1" s="1"/>
  <c r="AY44" i="1" s="1"/>
  <c r="AY45" i="1" s="1"/>
  <c r="AY46" i="1" s="1"/>
  <c r="AY47" i="1" s="1"/>
  <c r="AY48" i="1" s="1"/>
  <c r="AY49" i="1" s="1"/>
  <c r="AZ17" i="1"/>
  <c r="AZ18" i="1" s="1"/>
  <c r="AZ19" i="1" s="1"/>
  <c r="AZ20" i="1" s="1"/>
  <c r="AZ21" i="1" s="1"/>
  <c r="AZ22" i="1" s="1"/>
  <c r="AZ23" i="1" s="1"/>
  <c r="AZ24" i="1" s="1"/>
  <c r="AZ25" i="1" s="1"/>
  <c r="AZ26" i="1" s="1"/>
  <c r="AZ27" i="1" s="1"/>
  <c r="AZ28" i="1" s="1"/>
  <c r="AZ29" i="1" s="1"/>
  <c r="AZ30" i="1" s="1"/>
  <c r="AZ31" i="1" s="1"/>
  <c r="AZ32" i="1" s="1"/>
  <c r="AZ33" i="1" s="1"/>
  <c r="AZ34" i="1" s="1"/>
  <c r="AZ35" i="1" s="1"/>
  <c r="AZ36" i="1" s="1"/>
  <c r="AZ37" i="1" s="1"/>
  <c r="AZ38" i="1" s="1"/>
  <c r="AZ39" i="1" s="1"/>
  <c r="AZ40" i="1" s="1"/>
  <c r="AZ41" i="1" s="1"/>
  <c r="AZ42" i="1" s="1"/>
  <c r="AZ43" i="1" s="1"/>
  <c r="AZ44" i="1" s="1"/>
  <c r="AZ45" i="1" s="1"/>
  <c r="AZ46" i="1" s="1"/>
  <c r="AZ47" i="1" s="1"/>
  <c r="AZ48" i="1" s="1"/>
  <c r="AZ49" i="1" s="1"/>
  <c r="T33" i="1"/>
  <c r="AW18" i="1"/>
  <c r="T23" i="1"/>
  <c r="T28" i="1"/>
  <c r="E30" i="3"/>
  <c r="M25" i="3"/>
  <c r="M30" i="3"/>
  <c r="G30" i="2"/>
  <c r="G25" i="2"/>
  <c r="E20" i="3"/>
  <c r="K25" i="2"/>
  <c r="E15" i="3"/>
  <c r="AL15" i="3"/>
  <c r="T30" i="3"/>
  <c r="T15" i="3"/>
  <c r="AH25" i="3"/>
  <c r="P15" i="3"/>
  <c r="AA30" i="3"/>
  <c r="AN20" i="3"/>
  <c r="AN30" i="3"/>
  <c r="AA25" i="3"/>
  <c r="I20" i="3"/>
  <c r="AC25" i="3"/>
  <c r="S25" i="3"/>
  <c r="AI20" i="3"/>
  <c r="AF25" i="3"/>
  <c r="AH30" i="3"/>
  <c r="W15" i="3"/>
  <c r="AK25" i="3"/>
  <c r="Q30" i="3"/>
  <c r="AF30" i="3"/>
  <c r="AH20" i="3"/>
  <c r="Q15" i="3"/>
  <c r="AF15" i="3"/>
  <c r="W30" i="3"/>
  <c r="I15" i="3"/>
  <c r="AM20" i="3"/>
  <c r="AE15" i="3"/>
  <c r="N25" i="3"/>
  <c r="AD30" i="3"/>
  <c r="AM15" i="3"/>
  <c r="G15" i="3"/>
  <c r="T20" i="3"/>
  <c r="AC20" i="3"/>
  <c r="K25" i="3"/>
  <c r="X25" i="3"/>
  <c r="W20" i="3"/>
  <c r="I25" i="3"/>
  <c r="R25" i="3"/>
  <c r="M20" i="3"/>
  <c r="AJ30" i="3"/>
  <c r="AE20" i="3"/>
  <c r="AE30" i="3"/>
  <c r="AM25" i="3"/>
  <c r="P25" i="3"/>
  <c r="AK15" i="3"/>
  <c r="AG25" i="3"/>
  <c r="Q20" i="3"/>
  <c r="J18" i="1"/>
  <c r="J33" i="1"/>
  <c r="J28" i="1"/>
  <c r="X18" i="1"/>
  <c r="X33" i="1"/>
  <c r="X28" i="1"/>
  <c r="AK28" i="1"/>
  <c r="AK18" i="1"/>
  <c r="AK33" i="1"/>
  <c r="J23" i="1"/>
  <c r="F23" i="1"/>
  <c r="F18" i="1"/>
  <c r="F33" i="1"/>
  <c r="F28" i="1"/>
  <c r="AK23" i="1"/>
  <c r="N28" i="1"/>
  <c r="N18" i="1"/>
  <c r="N33" i="1"/>
  <c r="W33" i="1"/>
  <c r="W23" i="1"/>
  <c r="W18" i="1"/>
  <c r="W28" i="1"/>
  <c r="AB28" i="1"/>
  <c r="AB18" i="1"/>
  <c r="AB33" i="1"/>
  <c r="AJ18" i="1"/>
  <c r="AJ33" i="1"/>
  <c r="AJ28" i="1"/>
  <c r="AJ23" i="1"/>
  <c r="AN18" i="1"/>
  <c r="AN33" i="1"/>
  <c r="AN28" i="1"/>
  <c r="AH33" i="1"/>
  <c r="AH28" i="1"/>
  <c r="AH18" i="1"/>
  <c r="S18" i="1"/>
  <c r="S33" i="1"/>
  <c r="S28" i="1"/>
  <c r="AD28" i="1"/>
  <c r="AD18" i="1"/>
  <c r="AD33" i="1"/>
  <c r="AF33" i="1"/>
  <c r="AF28" i="1"/>
  <c r="AF18" i="1"/>
  <c r="Q18" i="1"/>
  <c r="Q28" i="1"/>
  <c r="Q33" i="1"/>
  <c r="AC28" i="1"/>
  <c r="AC18" i="1"/>
  <c r="AC33" i="1"/>
  <c r="AG33" i="1"/>
  <c r="AG28" i="1"/>
  <c r="AG18" i="1"/>
  <c r="AL18" i="1"/>
  <c r="AL33" i="1"/>
  <c r="AL23" i="1"/>
  <c r="AL28" i="1"/>
  <c r="Y18" i="1"/>
  <c r="Y33" i="1"/>
  <c r="Y28" i="1"/>
  <c r="V23" i="1"/>
  <c r="V18" i="1"/>
  <c r="V33" i="1"/>
  <c r="V28" i="1"/>
  <c r="N23" i="1"/>
  <c r="L28" i="1"/>
  <c r="L18" i="1"/>
  <c r="L33" i="1"/>
  <c r="AI18" i="1"/>
  <c r="AI33" i="1"/>
  <c r="AI28" i="1"/>
  <c r="L23" i="1"/>
  <c r="AE28" i="1"/>
  <c r="AE18" i="1"/>
  <c r="AE33" i="1"/>
  <c r="U18" i="1"/>
  <c r="U33" i="1"/>
  <c r="U28" i="1"/>
  <c r="U23" i="1"/>
  <c r="G18" i="1"/>
  <c r="G33" i="1"/>
  <c r="G28" i="1"/>
  <c r="G23" i="1"/>
  <c r="I18" i="1"/>
  <c r="I33" i="1"/>
  <c r="I28" i="1"/>
  <c r="S23" i="1"/>
  <c r="AN23" i="1"/>
  <c r="R33" i="1"/>
  <c r="R28" i="1"/>
  <c r="R18" i="1"/>
  <c r="M28" i="1"/>
  <c r="M18" i="1"/>
  <c r="M33" i="1"/>
  <c r="E18" i="1"/>
  <c r="E33" i="1"/>
  <c r="E28" i="1"/>
  <c r="AA18" i="1"/>
  <c r="AA33" i="1"/>
  <c r="AA28" i="1"/>
  <c r="O28" i="1"/>
  <c r="O18" i="1"/>
  <c r="O33" i="1"/>
  <c r="R23" i="1"/>
  <c r="AD23" i="1"/>
  <c r="P28" i="1"/>
  <c r="P33" i="1"/>
  <c r="P18" i="1"/>
  <c r="K18" i="1"/>
  <c r="K28" i="1"/>
  <c r="K33" i="1"/>
  <c r="AM33" i="1"/>
  <c r="AM18" i="1"/>
  <c r="AM23" i="1"/>
  <c r="AM28" i="1"/>
  <c r="D18" i="1"/>
  <c r="D33" i="1"/>
  <c r="D28" i="1"/>
  <c r="D23" i="1"/>
  <c r="H18" i="1"/>
  <c r="H33" i="1"/>
  <c r="H28" i="1"/>
  <c r="AB23" i="1"/>
  <c r="AF23" i="1"/>
  <c r="C18" i="1"/>
  <c r="C33" i="1"/>
  <c r="C28" i="1"/>
  <c r="C23" i="1"/>
  <c r="Y20" i="3"/>
  <c r="AG15" i="3"/>
  <c r="C25" i="3"/>
  <c r="AA15" i="3"/>
  <c r="N15" i="3"/>
  <c r="Y25" i="3"/>
  <c r="O20" i="3"/>
  <c r="AK20" i="3"/>
  <c r="AG20" i="3"/>
  <c r="V15" i="3"/>
  <c r="Y15" i="3"/>
  <c r="V30" i="3"/>
  <c r="F20" i="3"/>
  <c r="AC15" i="3"/>
  <c r="R15" i="3"/>
  <c r="N20" i="3"/>
  <c r="J30" i="3"/>
  <c r="S15" i="3"/>
  <c r="V20" i="3"/>
  <c r="AB20" i="3"/>
  <c r="R20" i="3"/>
  <c r="X30" i="3"/>
  <c r="K20" i="3"/>
  <c r="Z15" i="3"/>
  <c r="AD25" i="3"/>
  <c r="AI15" i="3"/>
  <c r="G25" i="3"/>
  <c r="P30" i="3"/>
  <c r="G30" i="3"/>
  <c r="O25" i="3"/>
  <c r="AN15" i="3"/>
  <c r="AB25" i="3"/>
  <c r="K15" i="3"/>
  <c r="AJ15" i="3"/>
  <c r="L30" i="3"/>
  <c r="L15" i="3"/>
  <c r="J25" i="3"/>
  <c r="AD20" i="3"/>
  <c r="F30" i="3"/>
  <c r="F25" i="3"/>
  <c r="X15" i="3"/>
  <c r="L25" i="3"/>
  <c r="AI30" i="3"/>
  <c r="D20" i="3"/>
  <c r="J15" i="3"/>
  <c r="O30" i="3"/>
  <c r="Z30" i="3"/>
  <c r="D30" i="3"/>
  <c r="Z20" i="3"/>
  <c r="C15" i="3"/>
  <c r="C30" i="3"/>
  <c r="Q15" i="2"/>
  <c r="K30" i="2"/>
  <c r="Y25" i="2"/>
  <c r="Q20" i="2"/>
  <c r="F15" i="2"/>
  <c r="M15" i="2"/>
  <c r="AE15" i="2"/>
  <c r="AL30" i="2"/>
  <c r="AG15" i="2"/>
  <c r="V15" i="2"/>
  <c r="V30" i="2"/>
  <c r="Q30" i="2"/>
  <c r="AL20" i="2"/>
  <c r="H30" i="2"/>
  <c r="S30" i="2"/>
  <c r="N25" i="2"/>
  <c r="H15" i="2"/>
  <c r="Y20" i="2"/>
  <c r="AE30" i="2"/>
  <c r="I25" i="2"/>
  <c r="C20" i="2"/>
  <c r="J20" i="2"/>
  <c r="AN15" i="2"/>
  <c r="L25" i="2"/>
  <c r="AA20" i="2"/>
  <c r="AA30" i="2"/>
  <c r="N20" i="2"/>
  <c r="AD30" i="2"/>
  <c r="AA25" i="2"/>
  <c r="Z25" i="2"/>
  <c r="J25" i="2"/>
  <c r="AD20" i="2"/>
  <c r="O15" i="2"/>
  <c r="J30" i="2"/>
  <c r="Z20" i="2"/>
  <c r="T15" i="2"/>
  <c r="C30" i="2"/>
  <c r="AG30" i="2"/>
  <c r="D15" i="2"/>
  <c r="AH15" i="2"/>
  <c r="AI15" i="2"/>
  <c r="AH25" i="2"/>
  <c r="AK25" i="2"/>
  <c r="AB15" i="2"/>
  <c r="R30" i="2"/>
  <c r="R25" i="2"/>
  <c r="U25" i="2"/>
  <c r="E15" i="2"/>
  <c r="AN20" i="2"/>
  <c r="D30" i="2"/>
  <c r="AL15" i="2"/>
  <c r="T30" i="2"/>
  <c r="Z15" i="2"/>
  <c r="AC15" i="2"/>
  <c r="R15" i="2"/>
  <c r="AI25" i="2"/>
  <c r="AN25" i="2"/>
  <c r="AM20" i="2"/>
  <c r="AM15" i="2"/>
  <c r="AI20" i="2"/>
  <c r="AK15" i="2"/>
  <c r="P15" i="2"/>
  <c r="P25" i="2"/>
  <c r="M25" i="2"/>
  <c r="E30" i="2"/>
  <c r="V25" i="2"/>
  <c r="I15" i="2"/>
  <c r="X25" i="2"/>
  <c r="P20" i="2"/>
  <c r="U15" i="2"/>
  <c r="U20" i="2"/>
  <c r="AC25" i="2"/>
  <c r="AJ25" i="2"/>
  <c r="AC20" i="2"/>
  <c r="E25" i="2"/>
  <c r="AM25" i="2"/>
  <c r="F20" i="2"/>
  <c r="AE25" i="2"/>
  <c r="AB30" i="2"/>
  <c r="W15" i="2"/>
  <c r="Y15" i="2"/>
  <c r="F30" i="2"/>
  <c r="H20" i="2"/>
  <c r="D20" i="2"/>
  <c r="AK20" i="2"/>
  <c r="AF20" i="2"/>
  <c r="AB20" i="2"/>
  <c r="I20" i="2"/>
  <c r="AF30" i="2"/>
  <c r="AG25" i="2"/>
  <c r="M30" i="2"/>
  <c r="L30" i="2"/>
  <c r="AJ30" i="2"/>
  <c r="AH20" i="2"/>
  <c r="L15" i="2"/>
  <c r="K15" i="2"/>
  <c r="O25" i="2"/>
  <c r="AJ20" i="2"/>
  <c r="T25" i="2"/>
  <c r="C15" i="2"/>
  <c r="X20" i="2"/>
  <c r="W25" i="2"/>
  <c r="O30" i="2"/>
  <c r="W30" i="2"/>
  <c r="X30" i="2"/>
  <c r="AW21" i="2" l="1"/>
  <c r="AW19" i="1"/>
  <c r="AW22" i="2" l="1"/>
  <c r="AW20" i="1"/>
  <c r="AW23" i="2" l="1"/>
  <c r="AW21" i="1"/>
  <c r="AW24" i="2" l="1"/>
  <c r="AW22" i="1"/>
  <c r="AW25" i="2" l="1"/>
  <c r="AW23" i="1"/>
  <c r="AW26" i="2" l="1"/>
  <c r="AW24" i="1"/>
  <c r="AW27" i="2" l="1"/>
  <c r="AW25" i="1"/>
  <c r="AW28" i="2" l="1"/>
  <c r="AW26" i="1"/>
  <c r="AW29" i="2" l="1"/>
  <c r="AW27" i="1"/>
  <c r="AW30" i="2" l="1"/>
  <c r="AW28" i="1"/>
  <c r="AW31" i="2" l="1"/>
  <c r="AW29" i="1"/>
  <c r="AW32" i="2" l="1"/>
  <c r="AW30" i="1"/>
  <c r="AW33" i="2" l="1"/>
  <c r="AW31" i="1"/>
  <c r="AW34" i="2" l="1"/>
  <c r="AW32" i="1"/>
  <c r="AW35" i="2" l="1"/>
  <c r="AW33" i="1"/>
  <c r="AW36" i="2" l="1"/>
  <c r="AW34" i="1"/>
  <c r="AW37" i="2" l="1"/>
  <c r="AW35" i="1"/>
  <c r="AW38" i="2" l="1"/>
  <c r="AW36" i="1"/>
  <c r="AW39" i="2" l="1"/>
  <c r="AW37" i="1"/>
  <c r="AW40" i="2" l="1"/>
  <c r="AW38" i="1"/>
  <c r="AW41" i="2" l="1"/>
  <c r="AW39" i="1"/>
  <c r="AW42" i="2" l="1"/>
  <c r="AW40" i="1"/>
  <c r="AW43" i="2" l="1"/>
  <c r="AW41" i="1"/>
  <c r="AW44" i="2" l="1"/>
  <c r="AW42" i="1"/>
  <c r="AW45" i="2" l="1"/>
  <c r="AW43" i="1"/>
  <c r="AW46" i="2" l="1"/>
  <c r="AW44" i="1"/>
  <c r="AW47" i="2" l="1"/>
  <c r="AW45" i="1"/>
  <c r="AW48" i="2" l="1"/>
  <c r="AW46" i="1"/>
  <c r="AW47" i="1" l="1"/>
  <c r="AW48" i="1" l="1"/>
  <c r="AW49" i="1" l="1"/>
</calcChain>
</file>

<file path=xl/sharedStrings.xml><?xml version="1.0" encoding="utf-8"?>
<sst xmlns="http://schemas.openxmlformats.org/spreadsheetml/2006/main" count="131" uniqueCount="33">
  <si>
    <t>Primary energy</t>
  </si>
  <si>
    <t>quad Btu</t>
  </si>
  <si>
    <t>United States</t>
  </si>
  <si>
    <t>Consumption</t>
  </si>
  <si>
    <t>kWh</t>
  </si>
  <si>
    <t>Emission CO2 (g)</t>
  </si>
  <si>
    <t>En prenant 870g/kWh</t>
  </si>
  <si>
    <t>En prenant 20g/kWh</t>
  </si>
  <si>
    <t>En prenant 390g/kWh</t>
  </si>
  <si>
    <t>En prenant 950g/kWh</t>
  </si>
  <si>
    <t>Emission CO2 (%)</t>
  </si>
  <si>
    <t>Charbon</t>
  </si>
  <si>
    <t>Gaz naturel</t>
  </si>
  <si>
    <t>Hydrocarbures</t>
  </si>
  <si>
    <t>Nucléaire et renouvelables</t>
  </si>
  <si>
    <t>Uganda</t>
  </si>
  <si>
    <t>Norvège</t>
  </si>
  <si>
    <t>Population</t>
  </si>
  <si>
    <t>fin des données</t>
  </si>
  <si>
    <t>début prévision</t>
  </si>
  <si>
    <t>CO2 émis (Tonne)</t>
  </si>
  <si>
    <t>Conso totale/pers</t>
  </si>
  <si>
    <t>Part charbon ds mix</t>
  </si>
  <si>
    <t>Part gaz nat ds mix</t>
  </si>
  <si>
    <t>Baisse pr Norvège</t>
  </si>
  <si>
    <t>Part hydrocarbure ds mix</t>
  </si>
  <si>
    <t>Part nucléaire, ENR ds mix</t>
  </si>
  <si>
    <t>début prévisions</t>
  </si>
  <si>
    <t>Baisse pr USA</t>
  </si>
  <si>
    <t>CO2 émis (tonne)</t>
  </si>
  <si>
    <t>USA</t>
  </si>
  <si>
    <t>Ouganda</t>
  </si>
  <si>
    <t>Facteur de baisse/augmentation des émissions de 2017 à 2050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</si>
</sst>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Rejet</a:t>
            </a:r>
            <a:r>
              <a:rPr lang="en-US" baseline="0"/>
              <a:t> C02 en g par année aux USA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Rejet de CO2 global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USA!$C$13:$AN$13</c:f>
              <c:numCache>
                <c:formatCode>General</c:formatCode>
                <c:ptCount val="38"/>
                <c:pt idx="0">
                  <c:v>1.5364503707979732E+16</c:v>
                </c:pt>
                <c:pt idx="1">
                  <c:v>1.486711490403082E+16</c:v>
                </c:pt>
                <c:pt idx="2">
                  <c:v>1.4117348989469492E+16</c:v>
                </c:pt>
                <c:pt idx="3">
                  <c:v>1.4108231637927244E+16</c:v>
                </c:pt>
                <c:pt idx="4">
                  <c:v>1.4827321968995204E+16</c:v>
                </c:pt>
                <c:pt idx="5">
                  <c:v>1.4833182258013702E+16</c:v>
                </c:pt>
                <c:pt idx="6">
                  <c:v>1.4976496938156196E+16</c:v>
                </c:pt>
                <c:pt idx="7">
                  <c:v>1.5476690084623002E+16</c:v>
                </c:pt>
                <c:pt idx="8">
                  <c:v>1.615200810844025E+16</c:v>
                </c:pt>
                <c:pt idx="9">
                  <c:v>1.6348206387725414E+16</c:v>
                </c:pt>
                <c:pt idx="10">
                  <c:v>1.6207200090083104E+16</c:v>
                </c:pt>
                <c:pt idx="11">
                  <c:v>1.6029599750443664E+16</c:v>
                </c:pt>
                <c:pt idx="12">
                  <c:v>1.6318486446661304E+16</c:v>
                </c:pt>
                <c:pt idx="13">
                  <c:v>1.6611031093422466E+16</c:v>
                </c:pt>
                <c:pt idx="14">
                  <c:v>1.6914072804841262E+16</c:v>
                </c:pt>
                <c:pt idx="15">
                  <c:v>1.705061450018672E+16</c:v>
                </c:pt>
                <c:pt idx="16">
                  <c:v>1.7664534506115688E+16</c:v>
                </c:pt>
                <c:pt idx="17">
                  <c:v>1.7927944651893044E+16</c:v>
                </c:pt>
                <c:pt idx="18">
                  <c:v>1.8111008698708404E+16</c:v>
                </c:pt>
                <c:pt idx="19">
                  <c:v>1.8373396137174732E+16</c:v>
                </c:pt>
                <c:pt idx="20">
                  <c:v>1.8855007969814004E+16</c:v>
                </c:pt>
                <c:pt idx="21">
                  <c:v>1.8529466527515792E+16</c:v>
                </c:pt>
                <c:pt idx="22">
                  <c:v>1.8630893405575216E+16</c:v>
                </c:pt>
                <c:pt idx="23">
                  <c:v>1.8835306399867072E+16</c:v>
                </c:pt>
                <c:pt idx="24">
                  <c:v>1.9270189511774228E+16</c:v>
                </c:pt>
                <c:pt idx="25">
                  <c:v>1.9354021378172328E+16</c:v>
                </c:pt>
                <c:pt idx="26">
                  <c:v>1.9133611733284E+16</c:v>
                </c:pt>
                <c:pt idx="27">
                  <c:v>1.9321462200220656E+16</c:v>
                </c:pt>
                <c:pt idx="28">
                  <c:v>1.864008573685636E+16</c:v>
                </c:pt>
                <c:pt idx="29">
                  <c:v>1.7364104619622218E+16</c:v>
                </c:pt>
                <c:pt idx="30">
                  <c:v>1.799433911750858E+16</c:v>
                </c:pt>
                <c:pt idx="31">
                  <c:v>1.7557896828120482E+16</c:v>
                </c:pt>
                <c:pt idx="32">
                  <c:v>1.6848947460721472E+16</c:v>
                </c:pt>
                <c:pt idx="33">
                  <c:v>1.7285898443065792E+16</c:v>
                </c:pt>
                <c:pt idx="34">
                  <c:v>1.7413005223723314E+16</c:v>
                </c:pt>
                <c:pt idx="35">
                  <c:v>1.7018680527530898E+16</c:v>
                </c:pt>
                <c:pt idx="36">
                  <c:v>1.6791324059185906E+16</c:v>
                </c:pt>
                <c:pt idx="37">
                  <c:v>1.6735736450308918E+16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F1-7E43-BE86-7BD3C2B02095}"/>
            </c:ext>
          </c:extLst>
        </c:ser>
        <c:ser>
          <c:idx val="1"/>
          <c:order val="1"/>
          <c:tx>
            <c:v>Charbon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USA!$C$17:$AN$17</c:f>
              <c:numCache>
                <c:formatCode>General</c:formatCode>
                <c:ptCount val="38"/>
                <c:pt idx="0">
                  <c:v>4293979291155269.5</c:v>
                </c:pt>
                <c:pt idx="1">
                  <c:v>4428932942777699.5</c:v>
                </c:pt>
                <c:pt idx="2">
                  <c:v>4265795594956849.5</c:v>
                </c:pt>
                <c:pt idx="3">
                  <c:v>4425289955964662</c:v>
                </c:pt>
                <c:pt idx="4">
                  <c:v>4752759042977638</c:v>
                </c:pt>
                <c:pt idx="5">
                  <c:v>4866299255765657</c:v>
                </c:pt>
                <c:pt idx="6">
                  <c:v>4805597955811861</c:v>
                </c:pt>
                <c:pt idx="7">
                  <c:v>5013866927356229</c:v>
                </c:pt>
                <c:pt idx="8">
                  <c:v>5247142250891243</c:v>
                </c:pt>
                <c:pt idx="9">
                  <c:v>5309354643179363</c:v>
                </c:pt>
                <c:pt idx="10">
                  <c:v>5337996132003042</c:v>
                </c:pt>
                <c:pt idx="11">
                  <c:v>5287612366330011</c:v>
                </c:pt>
                <c:pt idx="12">
                  <c:v>5324029692589506</c:v>
                </c:pt>
                <c:pt idx="13">
                  <c:v>5522451270013858</c:v>
                </c:pt>
                <c:pt idx="14">
                  <c:v>5543141814087554</c:v>
                </c:pt>
                <c:pt idx="15">
                  <c:v>5593052101096193</c:v>
                </c:pt>
                <c:pt idx="16">
                  <c:v>5847299477423851</c:v>
                </c:pt>
                <c:pt idx="17">
                  <c:v>5970776643986698</c:v>
                </c:pt>
                <c:pt idx="18">
                  <c:v>6029336994491055</c:v>
                </c:pt>
                <c:pt idx="19">
                  <c:v>6020093482530156</c:v>
                </c:pt>
                <c:pt idx="20">
                  <c:v>6286534623554978</c:v>
                </c:pt>
                <c:pt idx="21">
                  <c:v>6101314696196078</c:v>
                </c:pt>
                <c:pt idx="22">
                  <c:v>6098452846846954</c:v>
                </c:pt>
                <c:pt idx="23">
                  <c:v>6214535845648990</c:v>
                </c:pt>
                <c:pt idx="24">
                  <c:v>6254980601991159</c:v>
                </c:pt>
                <c:pt idx="25">
                  <c:v>6346955288185367</c:v>
                </c:pt>
                <c:pt idx="26">
                  <c:v>6249681060584456</c:v>
                </c:pt>
                <c:pt idx="27">
                  <c:v>6333848391930673</c:v>
                </c:pt>
                <c:pt idx="28">
                  <c:v>6233053222362767</c:v>
                </c:pt>
                <c:pt idx="29">
                  <c:v>5482375205752510</c:v>
                </c:pt>
                <c:pt idx="30">
                  <c:v>5800540120324253</c:v>
                </c:pt>
                <c:pt idx="31">
                  <c:v>5473070114255273</c:v>
                </c:pt>
                <c:pt idx="32">
                  <c:v>4838403596896970</c:v>
                </c:pt>
                <c:pt idx="33">
                  <c:v>5022270241159545</c:v>
                </c:pt>
                <c:pt idx="34">
                  <c:v>5010854814160420</c:v>
                </c:pt>
                <c:pt idx="35">
                  <c:v>4329076788402398</c:v>
                </c:pt>
                <c:pt idx="36">
                  <c:v>3960740072373824</c:v>
                </c:pt>
                <c:pt idx="37">
                  <c:v>3852591793266457.5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F1-7E43-BE86-7BD3C2B02095}"/>
            </c:ext>
          </c:extLst>
        </c:ser>
        <c:ser>
          <c:idx val="2"/>
          <c:order val="2"/>
          <c:tx>
            <c:v>Gaz naturel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USA!$C$22:$AN$22</c:f>
              <c:numCache>
                <c:formatCode>General</c:formatCode>
                <c:ptCount val="38"/>
                <c:pt idx="0">
                  <c:v>2312866231562372</c:v>
                </c:pt>
                <c:pt idx="1">
                  <c:v>2257071879109960</c:v>
                </c:pt>
                <c:pt idx="2">
                  <c:v>2098073788643238.5</c:v>
                </c:pt>
                <c:pt idx="3">
                  <c:v>1968301782212487.8</c:v>
                </c:pt>
                <c:pt idx="4">
                  <c:v>2102347421219590.5</c:v>
                </c:pt>
                <c:pt idx="5">
                  <c:v>2023467118701652.5</c:v>
                </c:pt>
                <c:pt idx="6">
                  <c:v>1896354595493729.8</c:v>
                </c:pt>
                <c:pt idx="7">
                  <c:v>2016188492529669.3</c:v>
                </c:pt>
                <c:pt idx="8">
                  <c:v>2108608664336574</c:v>
                </c:pt>
                <c:pt idx="9">
                  <c:v>2240418247914711.5</c:v>
                </c:pt>
                <c:pt idx="10">
                  <c:v>2240608117751469.8</c:v>
                </c:pt>
                <c:pt idx="11">
                  <c:v>2289720766232472.5</c:v>
                </c:pt>
                <c:pt idx="12">
                  <c:v>2367520290824545.5</c:v>
                </c:pt>
                <c:pt idx="13">
                  <c:v>2426425627063586</c:v>
                </c:pt>
                <c:pt idx="14">
                  <c:v>2483467846606027.5</c:v>
                </c:pt>
                <c:pt idx="15">
                  <c:v>2591258787880106</c:v>
                </c:pt>
                <c:pt idx="16">
                  <c:v>2638521830908742.5</c:v>
                </c:pt>
                <c:pt idx="17">
                  <c:v>2654302831587086.5</c:v>
                </c:pt>
                <c:pt idx="18">
                  <c:v>2609442115808799</c:v>
                </c:pt>
                <c:pt idx="19">
                  <c:v>2618471775848018</c:v>
                </c:pt>
                <c:pt idx="20">
                  <c:v>2723025512110447</c:v>
                </c:pt>
                <c:pt idx="21">
                  <c:v>2602850748845444.5</c:v>
                </c:pt>
                <c:pt idx="22">
                  <c:v>2687147941097670</c:v>
                </c:pt>
                <c:pt idx="23">
                  <c:v>2609489665362304</c:v>
                </c:pt>
                <c:pt idx="24">
                  <c:v>2620052962433533</c:v>
                </c:pt>
                <c:pt idx="25">
                  <c:v>2579168979209160</c:v>
                </c:pt>
                <c:pt idx="26">
                  <c:v>2541836350254760</c:v>
                </c:pt>
                <c:pt idx="27">
                  <c:v>2704598693755389</c:v>
                </c:pt>
                <c:pt idx="28">
                  <c:v>2725194488511105.5</c:v>
                </c:pt>
                <c:pt idx="29">
                  <c:v>2676387849578432.5</c:v>
                </c:pt>
                <c:pt idx="30">
                  <c:v>2808837613489581</c:v>
                </c:pt>
                <c:pt idx="31">
                  <c:v>2852246109566484.5</c:v>
                </c:pt>
                <c:pt idx="32">
                  <c:v>2981864613056587.5</c:v>
                </c:pt>
                <c:pt idx="33">
                  <c:v>3063764944916978</c:v>
                </c:pt>
                <c:pt idx="34">
                  <c:v>3129794505550321</c:v>
                </c:pt>
                <c:pt idx="35">
                  <c:v>3222177017525645</c:v>
                </c:pt>
                <c:pt idx="36">
                  <c:v>3246094611870821.5</c:v>
                </c:pt>
                <c:pt idx="37">
                  <c:v>3206631051187666.5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F1-7E43-BE86-7BD3C2B02095}"/>
            </c:ext>
          </c:extLst>
        </c:ser>
        <c:ser>
          <c:idx val="3"/>
          <c:order val="3"/>
          <c:tx>
            <c:v>Nucléaire et renouvelables 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USA!$C$32:$AN$32</c:f>
              <c:numCache>
                <c:formatCode>General</c:formatCode>
                <c:ptCount val="38"/>
                <c:pt idx="0">
                  <c:v>48086382657935.328</c:v>
                </c:pt>
                <c:pt idx="1">
                  <c:v>49890560575471.602</c:v>
                </c:pt>
                <c:pt idx="2">
                  <c:v>53749347133320.422</c:v>
                </c:pt>
                <c:pt idx="3">
                  <c:v>57253323000321.219</c:v>
                </c:pt>
                <c:pt idx="4">
                  <c:v>59029928147559.859</c:v>
                </c:pt>
                <c:pt idx="5">
                  <c:v>59982110111675.359</c:v>
                </c:pt>
                <c:pt idx="6">
                  <c:v>61759157151367.805</c:v>
                </c:pt>
                <c:pt idx="7">
                  <c:v>61386560151510.969</c:v>
                </c:pt>
                <c:pt idx="8">
                  <c:v>65185893552592.336</c:v>
                </c:pt>
                <c:pt idx="9">
                  <c:v>69359183808831.984</c:v>
                </c:pt>
                <c:pt idx="10">
                  <c:v>70885639540424.375</c:v>
                </c:pt>
                <c:pt idx="11">
                  <c:v>73227046318360.031</c:v>
                </c:pt>
                <c:pt idx="12">
                  <c:v>72315469317848.875</c:v>
                </c:pt>
                <c:pt idx="13">
                  <c:v>73364359026386.969</c:v>
                </c:pt>
                <c:pt idx="14">
                  <c:v>74925999109674.781</c:v>
                </c:pt>
                <c:pt idx="15">
                  <c:v>80374125291900.797</c:v>
                </c:pt>
                <c:pt idx="16">
                  <c:v>83084863109914.984</c:v>
                </c:pt>
                <c:pt idx="17">
                  <c:v>80109182039028.297</c:v>
                </c:pt>
                <c:pt idx="18">
                  <c:v>79695827971718.125</c:v>
                </c:pt>
                <c:pt idx="19">
                  <c:v>82987126844540.719</c:v>
                </c:pt>
                <c:pt idx="20">
                  <c:v>82099981233169.516</c:v>
                </c:pt>
                <c:pt idx="21">
                  <c:v>77043764872865.438</c:v>
                </c:pt>
                <c:pt idx="22">
                  <c:v>81039359194992.438</c:v>
                </c:pt>
                <c:pt idx="23">
                  <c:v>80504673757127.953</c:v>
                </c:pt>
                <c:pt idx="24">
                  <c:v>83050492299869.875</c:v>
                </c:pt>
                <c:pt idx="25">
                  <c:v>83039371750081.984</c:v>
                </c:pt>
                <c:pt idx="26">
                  <c:v>84854123511039.891</c:v>
                </c:pt>
                <c:pt idx="27">
                  <c:v>84897342040792.281</c:v>
                </c:pt>
                <c:pt idx="28">
                  <c:v>87297081430249.719</c:v>
                </c:pt>
                <c:pt idx="29">
                  <c:v>88380382621226.313</c:v>
                </c:pt>
                <c:pt idx="30">
                  <c:v>91791591429223.281</c:v>
                </c:pt>
                <c:pt idx="31">
                  <c:v>96155557716581.313</c:v>
                </c:pt>
                <c:pt idx="32">
                  <c:v>93006515413375.969</c:v>
                </c:pt>
                <c:pt idx="33">
                  <c:v>97139053367496.781</c:v>
                </c:pt>
                <c:pt idx="34">
                  <c:v>99162252012017.328</c:v>
                </c:pt>
                <c:pt idx="35">
                  <c:v>99027237308869.969</c:v>
                </c:pt>
                <c:pt idx="36">
                  <c:v>102692393797148.78</c:v>
                </c:pt>
                <c:pt idx="37">
                  <c:v>107170846676350.56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BF1-7E43-BE86-7BD3C2B02095}"/>
            </c:ext>
          </c:extLst>
        </c:ser>
        <c:ser>
          <c:idx val="4"/>
          <c:order val="4"/>
          <c:tx>
            <c:v>Hydrocarbures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USA!$C$27:$AN$27</c:f>
              <c:numCache>
                <c:formatCode>General</c:formatCode>
                <c:ptCount val="38"/>
                <c:pt idx="0">
                  <c:v>8709571802604155</c:v>
                </c:pt>
                <c:pt idx="1">
                  <c:v>8131219521567688</c:v>
                </c:pt>
                <c:pt idx="2">
                  <c:v>7699730258736083</c:v>
                </c:pt>
                <c:pt idx="3">
                  <c:v>7657386576749772</c:v>
                </c:pt>
                <c:pt idx="4">
                  <c:v>7913185576650417</c:v>
                </c:pt>
                <c:pt idx="5">
                  <c:v>7883433773434716</c:v>
                </c:pt>
                <c:pt idx="6">
                  <c:v>8212785229699237</c:v>
                </c:pt>
                <c:pt idx="7">
                  <c:v>8385248104585594</c:v>
                </c:pt>
                <c:pt idx="8">
                  <c:v>8731071299659841</c:v>
                </c:pt>
                <c:pt idx="9">
                  <c:v>8729074312822508</c:v>
                </c:pt>
                <c:pt idx="10">
                  <c:v>8557710200788169</c:v>
                </c:pt>
                <c:pt idx="11">
                  <c:v>8379039571562821</c:v>
                </c:pt>
                <c:pt idx="12">
                  <c:v>8554620993929404</c:v>
                </c:pt>
                <c:pt idx="13">
                  <c:v>8588789837318635</c:v>
                </c:pt>
                <c:pt idx="14">
                  <c:v>8812537145038006</c:v>
                </c:pt>
                <c:pt idx="15">
                  <c:v>8785929485918521</c:v>
                </c:pt>
                <c:pt idx="16">
                  <c:v>9095628334673180</c:v>
                </c:pt>
                <c:pt idx="17">
                  <c:v>9222755994280232</c:v>
                </c:pt>
                <c:pt idx="18">
                  <c:v>9392533760436830</c:v>
                </c:pt>
                <c:pt idx="19">
                  <c:v>9651843751952016</c:v>
                </c:pt>
                <c:pt idx="20">
                  <c:v>9763347852915412</c:v>
                </c:pt>
                <c:pt idx="21">
                  <c:v>9748257317601406</c:v>
                </c:pt>
                <c:pt idx="22">
                  <c:v>9764253258435598</c:v>
                </c:pt>
                <c:pt idx="23">
                  <c:v>9930776215098650</c:v>
                </c:pt>
                <c:pt idx="24">
                  <c:v>1.0312105455049666E+16</c:v>
                </c:pt>
                <c:pt idx="25">
                  <c:v>1.034485773902772E+16</c:v>
                </c:pt>
                <c:pt idx="26">
                  <c:v>1.0257240198933746E+16</c:v>
                </c:pt>
                <c:pt idx="27">
                  <c:v>1.0198117772493804E+16</c:v>
                </c:pt>
                <c:pt idx="28">
                  <c:v>9594540944552242</c:v>
                </c:pt>
                <c:pt idx="29">
                  <c:v>9116961181670050</c:v>
                </c:pt>
                <c:pt idx="30">
                  <c:v>9293169792265522</c:v>
                </c:pt>
                <c:pt idx="31">
                  <c:v>9136425046582142</c:v>
                </c:pt>
                <c:pt idx="32">
                  <c:v>8935672735354539</c:v>
                </c:pt>
                <c:pt idx="33">
                  <c:v>9102724203621774</c:v>
                </c:pt>
                <c:pt idx="34">
                  <c:v>9173193652000556</c:v>
                </c:pt>
                <c:pt idx="35">
                  <c:v>9368399484293986</c:v>
                </c:pt>
                <c:pt idx="36">
                  <c:v>9481796981144112</c:v>
                </c:pt>
                <c:pt idx="37">
                  <c:v>9569342759178444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BF1-7E43-BE86-7BD3C2B02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085775"/>
        <c:axId val="1278772479"/>
      </c:scatterChart>
      <c:valAx>
        <c:axId val="1279085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Années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8772479"/>
        <c:crosses val="autoZero"/>
        <c:crossBetween val="midCat"/>
      </c:valAx>
      <c:valAx>
        <c:axId val="127877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Rejet de CO2 en 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9085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Part du rejet de CO2 aux USA en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C41-497E-AB96-5EE7109BD23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C41-497E-AB96-5EE7109BD23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C41-497E-AB96-5EE7109BD23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C41-497E-AB96-5EE7109BD2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(USA!$AN$18,USA!$AN$23,USA!$AN$28,USA!$AN$33)</c:f>
              <c:numCache>
                <c:formatCode>General</c:formatCode>
                <c:ptCount val="4"/>
                <c:pt idx="0">
                  <c:v>23.020150948871713</c:v>
                </c:pt>
                <c:pt idx="1">
                  <c:v>19.160382100355534</c:v>
                </c:pt>
                <c:pt idx="2">
                  <c:v>57.179095688984795</c:v>
                </c:pt>
                <c:pt idx="3">
                  <c:v>0.64037126178795878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E3-B941-86F6-16300DC8320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983568628941328"/>
          <c:y val="0.45631572393634723"/>
          <c:w val="6.824831515655061E-2"/>
          <c:h val="0.14995088257436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Consommation énergétique par année aux USA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Consommation énergétique global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USA!$C$12:$AN$12</c:f>
              <c:numCache>
                <c:formatCode>General</c:formatCode>
                <c:ptCount val="38"/>
                <c:pt idx="0">
                  <c:v>22865725640846.953</c:v>
                </c:pt>
                <c:pt idx="1">
                  <c:v>22290155833106.598</c:v>
                </c:pt>
                <c:pt idx="2">
                  <c:v>21407719555602.578</c:v>
                </c:pt>
                <c:pt idx="3">
                  <c:v>21369387516740.805</c:v>
                </c:pt>
                <c:pt idx="4">
                  <c:v>22440650681872.797</c:v>
                </c:pt>
                <c:pt idx="5">
                  <c:v>22371321132635.641</c:v>
                </c:pt>
                <c:pt idx="6">
                  <c:v>22448912724976.828</c:v>
                </c:pt>
                <c:pt idx="7">
                  <c:v>23155012963527.289</c:v>
                </c:pt>
                <c:pt idx="8">
                  <c:v>24225005330601.055</c:v>
                </c:pt>
                <c:pt idx="9">
                  <c:v>24834834476194.02</c:v>
                </c:pt>
                <c:pt idx="10">
                  <c:v>24744822800395.156</c:v>
                </c:pt>
                <c:pt idx="11">
                  <c:v>24729418925038.75</c:v>
                </c:pt>
                <c:pt idx="12">
                  <c:v>25123477790005.402</c:v>
                </c:pt>
                <c:pt idx="13">
                  <c:v>25575100950094.879</c:v>
                </c:pt>
                <c:pt idx="14">
                  <c:v>26078405389198.258</c:v>
                </c:pt>
                <c:pt idx="15">
                  <c:v>26649152355207.781</c:v>
                </c:pt>
                <c:pt idx="16">
                  <c:v>27529481041336.262</c:v>
                </c:pt>
                <c:pt idx="17">
                  <c:v>27697260803573.137</c:v>
                </c:pt>
                <c:pt idx="18">
                  <c:v>27818354955719.426</c:v>
                </c:pt>
                <c:pt idx="19">
                  <c:v>28294400322741.379</c:v>
                </c:pt>
                <c:pt idx="20">
                  <c:v>28926759537674.57</c:v>
                </c:pt>
                <c:pt idx="21">
                  <c:v>28153494513553.176</c:v>
                </c:pt>
                <c:pt idx="22">
                  <c:v>28584794542350.906</c:v>
                </c:pt>
                <c:pt idx="23">
                  <c:v>28672534814152.633</c:v>
                </c:pt>
                <c:pt idx="24">
                  <c:v>29307794017332.105</c:v>
                </c:pt>
                <c:pt idx="25">
                  <c:v>29336869026201.219</c:v>
                </c:pt>
                <c:pt idx="26">
                  <c:v>29128778184632.043</c:v>
                </c:pt>
                <c:pt idx="27">
                  <c:v>29568918832319.793</c:v>
                </c:pt>
                <c:pt idx="28">
                  <c:v>28941848884544.641</c:v>
                </c:pt>
                <c:pt idx="29">
                  <c:v>27531739073969.02</c:v>
                </c:pt>
                <c:pt idx="30">
                  <c:v>28579363362887.891</c:v>
                </c:pt>
                <c:pt idx="31">
                  <c:v>28383993869455.406</c:v>
                </c:pt>
                <c:pt idx="32">
                  <c:v>27660077090157.121</c:v>
                </c:pt>
                <c:pt idx="33">
                  <c:v>28462261856769.469</c:v>
                </c:pt>
                <c:pt idx="34">
                  <c:v>28801711481728.191</c:v>
                </c:pt>
                <c:pt idx="35">
                  <c:v>28538552422537.203</c:v>
                </c:pt>
                <c:pt idx="36">
                  <c:v>28525756503363.777</c:v>
                </c:pt>
                <c:pt idx="37">
                  <c:v>28635277567464.293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36-B246-A009-64755964FF5E}"/>
            </c:ext>
          </c:extLst>
        </c:ser>
        <c:ser>
          <c:idx val="1"/>
          <c:order val="1"/>
          <c:tx>
            <c:v>Charbon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USA!$C$16:$AN$16</c:f>
              <c:numCache>
                <c:formatCode>General</c:formatCode>
                <c:ptCount val="38"/>
                <c:pt idx="0">
                  <c:v>4519978201216.0732</c:v>
                </c:pt>
                <c:pt idx="1">
                  <c:v>4662034676608.1045</c:v>
                </c:pt>
                <c:pt idx="2">
                  <c:v>4490311152586.1572</c:v>
                </c:pt>
                <c:pt idx="3">
                  <c:v>4658199953647.0127</c:v>
                </c:pt>
                <c:pt idx="4">
                  <c:v>5002904255765.9346</c:v>
                </c:pt>
                <c:pt idx="5">
                  <c:v>5122420269227.0078</c:v>
                </c:pt>
                <c:pt idx="6">
                  <c:v>5058524164012.4854</c:v>
                </c:pt>
                <c:pt idx="7">
                  <c:v>5277754660374.9775</c:v>
                </c:pt>
                <c:pt idx="8">
                  <c:v>5523307632517.0977</c:v>
                </c:pt>
                <c:pt idx="9">
                  <c:v>5588794361241.4346</c:v>
                </c:pt>
                <c:pt idx="10">
                  <c:v>5618943296845.3076</c:v>
                </c:pt>
                <c:pt idx="11">
                  <c:v>5565907754031.5908</c:v>
                </c:pt>
                <c:pt idx="12">
                  <c:v>5604241781673.1641</c:v>
                </c:pt>
                <c:pt idx="13">
                  <c:v>5813106600014.5879</c:v>
                </c:pt>
                <c:pt idx="14">
                  <c:v>5834886120092.1621</c:v>
                </c:pt>
                <c:pt idx="15">
                  <c:v>5887423264311.7822</c:v>
                </c:pt>
                <c:pt idx="16">
                  <c:v>6155052081498.791</c:v>
                </c:pt>
                <c:pt idx="17">
                  <c:v>6285028046301.7871</c:v>
                </c:pt>
                <c:pt idx="18">
                  <c:v>6346670520516.9004</c:v>
                </c:pt>
                <c:pt idx="19">
                  <c:v>6336940507926.4805</c:v>
                </c:pt>
                <c:pt idx="20">
                  <c:v>6617404866899.9766</c:v>
                </c:pt>
                <c:pt idx="21">
                  <c:v>6422436522311.6611</c:v>
                </c:pt>
                <c:pt idx="22">
                  <c:v>6419424049312.583</c:v>
                </c:pt>
                <c:pt idx="23">
                  <c:v>6541616679630.5156</c:v>
                </c:pt>
                <c:pt idx="24">
                  <c:v>6584190107359.1152</c:v>
                </c:pt>
                <c:pt idx="25">
                  <c:v>6681005566510.9131</c:v>
                </c:pt>
                <c:pt idx="26">
                  <c:v>6578611642720.4795</c:v>
                </c:pt>
                <c:pt idx="27">
                  <c:v>6667208833611.2344</c:v>
                </c:pt>
                <c:pt idx="28">
                  <c:v>6561108655118.7021</c:v>
                </c:pt>
                <c:pt idx="29">
                  <c:v>5770921269213.1689</c:v>
                </c:pt>
                <c:pt idx="30">
                  <c:v>6105831705604.4766</c:v>
                </c:pt>
                <c:pt idx="31">
                  <c:v>5761126436058.1826</c:v>
                </c:pt>
                <c:pt idx="32">
                  <c:v>5093056417786.2842</c:v>
                </c:pt>
                <c:pt idx="33">
                  <c:v>5286600253852.1523</c:v>
                </c:pt>
                <c:pt idx="34">
                  <c:v>5274584014905.7051</c:v>
                </c:pt>
                <c:pt idx="35">
                  <c:v>4556922935160.4189</c:v>
                </c:pt>
                <c:pt idx="36">
                  <c:v>4169200076182.9727</c:v>
                </c:pt>
                <c:pt idx="37">
                  <c:v>4055359782385.7446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36-B246-A009-64755964FF5E}"/>
            </c:ext>
          </c:extLst>
        </c:ser>
        <c:ser>
          <c:idx val="2"/>
          <c:order val="2"/>
          <c:tx>
            <c:v>Gaz naturel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USA!$C$21:$AN$21</c:f>
              <c:numCache>
                <c:formatCode>General</c:formatCode>
                <c:ptCount val="38"/>
                <c:pt idx="0">
                  <c:v>5930426234775.3125</c:v>
                </c:pt>
                <c:pt idx="1">
                  <c:v>5787363792589.6406</c:v>
                </c:pt>
                <c:pt idx="2">
                  <c:v>5379676381136.5088</c:v>
                </c:pt>
                <c:pt idx="3">
                  <c:v>5046927646698.6865</c:v>
                </c:pt>
                <c:pt idx="4">
                  <c:v>5390634413383.5654</c:v>
                </c:pt>
                <c:pt idx="5">
                  <c:v>5188377227440.1348</c:v>
                </c:pt>
                <c:pt idx="6">
                  <c:v>4862447680753.1533</c:v>
                </c:pt>
                <c:pt idx="7">
                  <c:v>5169714083409.4082</c:v>
                </c:pt>
                <c:pt idx="8">
                  <c:v>5406688882914.292</c:v>
                </c:pt>
                <c:pt idx="9">
                  <c:v>5744662174140.2861</c:v>
                </c:pt>
                <c:pt idx="10">
                  <c:v>5745149019875.5635</c:v>
                </c:pt>
                <c:pt idx="11">
                  <c:v>5871078887775.5703</c:v>
                </c:pt>
                <c:pt idx="12">
                  <c:v>6070564848268.0654</c:v>
                </c:pt>
                <c:pt idx="13">
                  <c:v>6221604171957.9131</c:v>
                </c:pt>
                <c:pt idx="14">
                  <c:v>6367866273348.7881</c:v>
                </c:pt>
                <c:pt idx="15">
                  <c:v>6644253302256.6816</c:v>
                </c:pt>
                <c:pt idx="16">
                  <c:v>6765440592073.6982</c:v>
                </c:pt>
                <c:pt idx="17">
                  <c:v>6805904696377.1455</c:v>
                </c:pt>
                <c:pt idx="18">
                  <c:v>6690877220022.5615</c:v>
                </c:pt>
                <c:pt idx="19">
                  <c:v>6714030194482.0977</c:v>
                </c:pt>
                <c:pt idx="20">
                  <c:v>6982116697719.0947</c:v>
                </c:pt>
                <c:pt idx="21">
                  <c:v>6673976279090.8828</c:v>
                </c:pt>
                <c:pt idx="22">
                  <c:v>6890122925891.4619</c:v>
                </c:pt>
                <c:pt idx="23">
                  <c:v>6690999141954.626</c:v>
                </c:pt>
                <c:pt idx="24">
                  <c:v>6718084519060.3408</c:v>
                </c:pt>
                <c:pt idx="25">
                  <c:v>6613253792844</c:v>
                </c:pt>
                <c:pt idx="26">
                  <c:v>6517529103217.333</c:v>
                </c:pt>
                <c:pt idx="27">
                  <c:v>6934868445526.6387</c:v>
                </c:pt>
                <c:pt idx="28">
                  <c:v>6987678175669.501</c:v>
                </c:pt>
                <c:pt idx="29">
                  <c:v>6862532947637.0068</c:v>
                </c:pt>
                <c:pt idx="30">
                  <c:v>7202147726896.3613</c:v>
                </c:pt>
                <c:pt idx="31">
                  <c:v>7313451562990.9854</c:v>
                </c:pt>
                <c:pt idx="32">
                  <c:v>7645806700145.0967</c:v>
                </c:pt>
                <c:pt idx="33">
                  <c:v>7855807551069.1738</c:v>
                </c:pt>
                <c:pt idx="34">
                  <c:v>8025114116795.6943</c:v>
                </c:pt>
                <c:pt idx="35">
                  <c:v>8261992352629.8584</c:v>
                </c:pt>
                <c:pt idx="36">
                  <c:v>8323319517617.4912</c:v>
                </c:pt>
                <c:pt idx="37">
                  <c:v>8222130900481.1963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36-B246-A009-64755964FF5E}"/>
            </c:ext>
          </c:extLst>
        </c:ser>
        <c:ser>
          <c:idx val="3"/>
          <c:order val="3"/>
          <c:tx>
            <c:v>Nucléaire et renouvelables 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USA!$C$31:$AN$31</c:f>
              <c:numCache>
                <c:formatCode>General</c:formatCode>
                <c:ptCount val="38"/>
                <c:pt idx="0">
                  <c:v>2404319132896.7666</c:v>
                </c:pt>
                <c:pt idx="1">
                  <c:v>2494528028773.5801</c:v>
                </c:pt>
                <c:pt idx="2">
                  <c:v>2687467356666.021</c:v>
                </c:pt>
                <c:pt idx="3">
                  <c:v>2862666150016.061</c:v>
                </c:pt>
                <c:pt idx="4">
                  <c:v>2951496407377.9932</c:v>
                </c:pt>
                <c:pt idx="5">
                  <c:v>2999105505583.7681</c:v>
                </c:pt>
                <c:pt idx="6">
                  <c:v>3087957857568.3901</c:v>
                </c:pt>
                <c:pt idx="7">
                  <c:v>3069328007575.5483</c:v>
                </c:pt>
                <c:pt idx="8">
                  <c:v>3259294677629.6167</c:v>
                </c:pt>
                <c:pt idx="9">
                  <c:v>3467959190441.5991</c:v>
                </c:pt>
                <c:pt idx="10">
                  <c:v>3544281977021.2188</c:v>
                </c:pt>
                <c:pt idx="11">
                  <c:v>3661352315918.002</c:v>
                </c:pt>
                <c:pt idx="12">
                  <c:v>3615773465892.4434</c:v>
                </c:pt>
                <c:pt idx="13">
                  <c:v>3668217951319.3481</c:v>
                </c:pt>
                <c:pt idx="14">
                  <c:v>3746299955483.7393</c:v>
                </c:pt>
                <c:pt idx="15">
                  <c:v>4018706264595.04</c:v>
                </c:pt>
                <c:pt idx="16">
                  <c:v>4154243155495.749</c:v>
                </c:pt>
                <c:pt idx="17">
                  <c:v>4005459101951.4146</c:v>
                </c:pt>
                <c:pt idx="18">
                  <c:v>3984791398585.9063</c:v>
                </c:pt>
                <c:pt idx="19">
                  <c:v>4149356342227.0356</c:v>
                </c:pt>
                <c:pt idx="20">
                  <c:v>4104999061658.4761</c:v>
                </c:pt>
                <c:pt idx="21">
                  <c:v>3852188243643.272</c:v>
                </c:pt>
                <c:pt idx="22">
                  <c:v>4051967959749.6221</c:v>
                </c:pt>
                <c:pt idx="23">
                  <c:v>4025233687856.3979</c:v>
                </c:pt>
                <c:pt idx="24">
                  <c:v>4152524614993.4941</c:v>
                </c:pt>
                <c:pt idx="25">
                  <c:v>4151968587504.0991</c:v>
                </c:pt>
                <c:pt idx="26">
                  <c:v>4242706175551.9946</c:v>
                </c:pt>
                <c:pt idx="27">
                  <c:v>4244867102039.6138</c:v>
                </c:pt>
                <c:pt idx="28">
                  <c:v>4364854071512.4858</c:v>
                </c:pt>
                <c:pt idx="29">
                  <c:v>4419019131061.3154</c:v>
                </c:pt>
                <c:pt idx="30">
                  <c:v>4589579571461.1641</c:v>
                </c:pt>
                <c:pt idx="31">
                  <c:v>4807777885829.0654</c:v>
                </c:pt>
                <c:pt idx="32">
                  <c:v>4650325770668.7988</c:v>
                </c:pt>
                <c:pt idx="33">
                  <c:v>4856952668374.8389</c:v>
                </c:pt>
                <c:pt idx="34">
                  <c:v>4958112600600.8662</c:v>
                </c:pt>
                <c:pt idx="35">
                  <c:v>4951361865443.498</c:v>
                </c:pt>
                <c:pt idx="36">
                  <c:v>5134619689857.4395</c:v>
                </c:pt>
                <c:pt idx="37">
                  <c:v>5358542333817.5283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36-B246-A009-64755964FF5E}"/>
            </c:ext>
          </c:extLst>
        </c:ser>
        <c:ser>
          <c:idx val="4"/>
          <c:order val="4"/>
          <c:tx>
            <c:v>Hydrocarbures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USA!$C$26:$AN$26</c:f>
              <c:numCache>
                <c:formatCode>General</c:formatCode>
                <c:ptCount val="38"/>
                <c:pt idx="0">
                  <c:v>10011002071958.799</c:v>
                </c:pt>
                <c:pt idx="1">
                  <c:v>9346229335135.2734</c:v>
                </c:pt>
                <c:pt idx="2">
                  <c:v>8850264665213.8887</c:v>
                </c:pt>
                <c:pt idx="3">
                  <c:v>8801593766379.0488</c:v>
                </c:pt>
                <c:pt idx="4">
                  <c:v>9095615605345.3066</c:v>
                </c:pt>
                <c:pt idx="5">
                  <c:v>9061418130384.7305</c:v>
                </c:pt>
                <c:pt idx="6">
                  <c:v>9439983022642.8008</c:v>
                </c:pt>
                <c:pt idx="7">
                  <c:v>9638216212167.3496</c:v>
                </c:pt>
                <c:pt idx="8">
                  <c:v>10035714137540.047</c:v>
                </c:pt>
                <c:pt idx="9">
                  <c:v>10033418750370.699</c:v>
                </c:pt>
                <c:pt idx="10">
                  <c:v>9836448506653.0684</c:v>
                </c:pt>
                <c:pt idx="11">
                  <c:v>9631079967313.5879</c:v>
                </c:pt>
                <c:pt idx="12">
                  <c:v>9832897694171.7285</c:v>
                </c:pt>
                <c:pt idx="13">
                  <c:v>9872172226803.0293</c:v>
                </c:pt>
                <c:pt idx="14">
                  <c:v>10129353040273.57</c:v>
                </c:pt>
                <c:pt idx="15">
                  <c:v>10098769524044.277</c:v>
                </c:pt>
                <c:pt idx="16">
                  <c:v>10454745212268.023</c:v>
                </c:pt>
                <c:pt idx="17">
                  <c:v>10600868958942.795</c:v>
                </c:pt>
                <c:pt idx="18">
                  <c:v>10796015816594.059</c:v>
                </c:pt>
                <c:pt idx="19">
                  <c:v>11094073278105.766</c:v>
                </c:pt>
                <c:pt idx="20">
                  <c:v>11222238911397.025</c:v>
                </c:pt>
                <c:pt idx="21">
                  <c:v>11204893468507.363</c:v>
                </c:pt>
                <c:pt idx="22">
                  <c:v>11223279607397.238</c:v>
                </c:pt>
                <c:pt idx="23">
                  <c:v>11414685304711.092</c:v>
                </c:pt>
                <c:pt idx="24">
                  <c:v>11852994775919.156</c:v>
                </c:pt>
                <c:pt idx="25">
                  <c:v>11890641079342.207</c:v>
                </c:pt>
                <c:pt idx="26">
                  <c:v>11789931263142.236</c:v>
                </c:pt>
                <c:pt idx="27">
                  <c:v>11721974451142.303</c:v>
                </c:pt>
                <c:pt idx="28">
                  <c:v>11028207982243.957</c:v>
                </c:pt>
                <c:pt idx="29">
                  <c:v>10479265726057.529</c:v>
                </c:pt>
                <c:pt idx="30">
                  <c:v>10681804358925.887</c:v>
                </c:pt>
                <c:pt idx="31">
                  <c:v>10501637984577.174</c:v>
                </c:pt>
                <c:pt idx="32">
                  <c:v>10270888201556.941</c:v>
                </c:pt>
                <c:pt idx="33">
                  <c:v>10462901383473.303</c:v>
                </c:pt>
                <c:pt idx="34">
                  <c:v>10543900749425.926</c:v>
                </c:pt>
                <c:pt idx="35">
                  <c:v>10768275269303.432</c:v>
                </c:pt>
                <c:pt idx="36">
                  <c:v>10898617219705.875</c:v>
                </c:pt>
                <c:pt idx="37">
                  <c:v>10999244550779.82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736-B246-A009-64755964F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085775"/>
        <c:axId val="1278772479"/>
      </c:scatterChart>
      <c:valAx>
        <c:axId val="1279085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Années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8772479"/>
        <c:crosses val="autoZero"/>
        <c:crossBetween val="midCat"/>
      </c:valAx>
      <c:valAx>
        <c:axId val="127877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Rejet de CO2 en 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9085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Emissions</a:t>
            </a:r>
            <a:r>
              <a:rPr lang="fr-FR" baseline="0"/>
              <a:t> CO2 USA, scénario mix énergétique Norvège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USA!$AQ$16:$AQ$49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xVal>
          <c:yVal>
            <c:numRef>
              <c:f>USA!$BH$16:$BH$49</c:f>
              <c:numCache>
                <c:formatCode>General</c:formatCode>
                <c:ptCount val="34"/>
                <c:pt idx="0">
                  <c:v>16735736450.308918</c:v>
                </c:pt>
                <c:pt idx="1">
                  <c:v>16536460533.850882</c:v>
                </c:pt>
                <c:pt idx="2">
                  <c:v>16327748602.195045</c:v>
                </c:pt>
                <c:pt idx="3">
                  <c:v>16110437033.39776</c:v>
                </c:pt>
                <c:pt idx="4">
                  <c:v>15886132803.190765</c:v>
                </c:pt>
                <c:pt idx="5">
                  <c:v>15656450545.064953</c:v>
                </c:pt>
                <c:pt idx="6">
                  <c:v>15422846832.630156</c:v>
                </c:pt>
                <c:pt idx="7">
                  <c:v>15186876568.134724</c:v>
                </c:pt>
                <c:pt idx="8">
                  <c:v>14949053628.056572</c:v>
                </c:pt>
                <c:pt idx="9">
                  <c:v>14709076028.851311</c:v>
                </c:pt>
                <c:pt idx="10">
                  <c:v>14466123547.071398</c:v>
                </c:pt>
                <c:pt idx="11">
                  <c:v>14219106122.882509</c:v>
                </c:pt>
                <c:pt idx="12">
                  <c:v>13967248990.165756</c:v>
                </c:pt>
                <c:pt idx="13">
                  <c:v>13710832313.496592</c:v>
                </c:pt>
                <c:pt idx="14">
                  <c:v>13450045662.676804</c:v>
                </c:pt>
                <c:pt idx="15">
                  <c:v>13185903780.84654</c:v>
                </c:pt>
                <c:pt idx="16">
                  <c:v>12918896958.923437</c:v>
                </c:pt>
                <c:pt idx="17">
                  <c:v>12649720554.373196</c:v>
                </c:pt>
                <c:pt idx="18">
                  <c:v>12378931957.140198</c:v>
                </c:pt>
                <c:pt idx="19">
                  <c:v>12105982379.689999</c:v>
                </c:pt>
                <c:pt idx="20">
                  <c:v>11830466560.372139</c:v>
                </c:pt>
                <c:pt idx="21">
                  <c:v>11551652820.254147</c:v>
                </c:pt>
                <c:pt idx="22">
                  <c:v>11268962696.396585</c:v>
                </c:pt>
                <c:pt idx="23">
                  <c:v>10982531139.220867</c:v>
                </c:pt>
                <c:pt idx="24">
                  <c:v>10692378002.870245</c:v>
                </c:pt>
                <c:pt idx="25">
                  <c:v>10399126320.52803</c:v>
                </c:pt>
                <c:pt idx="26">
                  <c:v>10102938571.695246</c:v>
                </c:pt>
                <c:pt idx="27">
                  <c:v>9804483827.3446617</c:v>
                </c:pt>
                <c:pt idx="28">
                  <c:v>9504670528.1304913</c:v>
                </c:pt>
                <c:pt idx="29">
                  <c:v>9204257452.9737091</c:v>
                </c:pt>
                <c:pt idx="30">
                  <c:v>8903595039.8610535</c:v>
                </c:pt>
                <c:pt idx="31">
                  <c:v>8602281024.1343803</c:v>
                </c:pt>
                <c:pt idx="32">
                  <c:v>8300516817.7569332</c:v>
                </c:pt>
                <c:pt idx="33">
                  <c:v>7998765062.2674904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A0-481D-90B1-BA813C559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334808"/>
        <c:axId val="514345632"/>
      </c:scatterChart>
      <c:valAx>
        <c:axId val="514334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345632"/>
        <c:crosses val="autoZero"/>
        <c:crossBetween val="midCat"/>
      </c:valAx>
      <c:valAx>
        <c:axId val="51434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Emissions</a:t>
                </a:r>
                <a:r>
                  <a:rPr lang="fr-FR" baseline="0"/>
                  <a:t> de CO2 en tonnes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334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Rejet</a:t>
            </a:r>
            <a:r>
              <a:rPr lang="en-US" baseline="0"/>
              <a:t> C02 en g par année au Ouganda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Rejet de CO2 global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Ouganda!$C$10:$AN$10</c:f>
              <c:numCache>
                <c:formatCode>General</c:formatCode>
                <c:ptCount val="38"/>
                <c:pt idx="0">
                  <c:v>2681025474454.2158</c:v>
                </c:pt>
                <c:pt idx="1">
                  <c:v>1714489401825.364</c:v>
                </c:pt>
                <c:pt idx="2">
                  <c:v>2034462325635.29</c:v>
                </c:pt>
                <c:pt idx="3">
                  <c:v>1977997599493.3132</c:v>
                </c:pt>
                <c:pt idx="4">
                  <c:v>2043465636322.5281</c:v>
                </c:pt>
                <c:pt idx="5">
                  <c:v>2200838529284.1841</c:v>
                </c:pt>
                <c:pt idx="6">
                  <c:v>2351958092989.5498</c:v>
                </c:pt>
                <c:pt idx="7">
                  <c:v>2067325934691.1797</c:v>
                </c:pt>
                <c:pt idx="8">
                  <c:v>3129394065483.7139</c:v>
                </c:pt>
                <c:pt idx="9">
                  <c:v>2861856323166.6865</c:v>
                </c:pt>
                <c:pt idx="10">
                  <c:v>3088926069575.4478</c:v>
                </c:pt>
                <c:pt idx="11">
                  <c:v>3354488764640.3428</c:v>
                </c:pt>
                <c:pt idx="12">
                  <c:v>3533737722187.8071</c:v>
                </c:pt>
                <c:pt idx="13">
                  <c:v>3632779879059.0181</c:v>
                </c:pt>
                <c:pt idx="14">
                  <c:v>3739168829786.123</c:v>
                </c:pt>
                <c:pt idx="15">
                  <c:v>3692649220092.1377</c:v>
                </c:pt>
                <c:pt idx="16">
                  <c:v>3762932218440.9766</c:v>
                </c:pt>
                <c:pt idx="17">
                  <c:v>3863352585650.3374</c:v>
                </c:pt>
                <c:pt idx="18">
                  <c:v>4369781930840.1035</c:v>
                </c:pt>
                <c:pt idx="19">
                  <c:v>4370179612361.2695</c:v>
                </c:pt>
                <c:pt idx="20">
                  <c:v>5126251800279.6963</c:v>
                </c:pt>
                <c:pt idx="21">
                  <c:v>5260121542586.3936</c:v>
                </c:pt>
                <c:pt idx="22">
                  <c:v>5316333527039.5986</c:v>
                </c:pt>
                <c:pt idx="23">
                  <c:v>5582018331561.125</c:v>
                </c:pt>
                <c:pt idx="24">
                  <c:v>5905167778827.4541</c:v>
                </c:pt>
                <c:pt idx="25">
                  <c:v>7344641931730.209</c:v>
                </c:pt>
                <c:pt idx="26">
                  <c:v>8650689447447.9326</c:v>
                </c:pt>
                <c:pt idx="27">
                  <c:v>10483496854239.689</c:v>
                </c:pt>
                <c:pt idx="28">
                  <c:v>10494590507020.143</c:v>
                </c:pt>
                <c:pt idx="29">
                  <c:v>11333626554364.781</c:v>
                </c:pt>
                <c:pt idx="30">
                  <c:v>13031891071812.76</c:v>
                </c:pt>
                <c:pt idx="31">
                  <c:v>13855719788737.902</c:v>
                </c:pt>
                <c:pt idx="32">
                  <c:v>13195160392704.119</c:v>
                </c:pt>
                <c:pt idx="33">
                  <c:v>13778999719842.109</c:v>
                </c:pt>
                <c:pt idx="34">
                  <c:v>16610305191207.475</c:v>
                </c:pt>
                <c:pt idx="35">
                  <c:v>16524422769451.902</c:v>
                </c:pt>
                <c:pt idx="36">
                  <c:v>17130204635475.535</c:v>
                </c:pt>
                <c:pt idx="37">
                  <c:v>16534601519337.543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D6-3B45-85C9-CC4C7EAA0914}"/>
            </c:ext>
          </c:extLst>
        </c:ser>
        <c:ser>
          <c:idx val="1"/>
          <c:order val="1"/>
          <c:tx>
            <c:v>Charbon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Ouganda!$C$14:$AN$14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D6-3B45-85C9-CC4C7EAA0914}"/>
            </c:ext>
          </c:extLst>
        </c:ser>
        <c:ser>
          <c:idx val="2"/>
          <c:order val="2"/>
          <c:tx>
            <c:v>Gaz naturel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Ouganda!$C$19:$AN$19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D6-3B45-85C9-CC4C7EAA0914}"/>
            </c:ext>
          </c:extLst>
        </c:ser>
        <c:ser>
          <c:idx val="3"/>
          <c:order val="3"/>
          <c:tx>
            <c:v>Nucléaire et renouvelables 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Ouganda!$C$29:$AN$29</c:f>
              <c:numCache>
                <c:formatCode>General</c:formatCode>
                <c:ptCount val="38"/>
                <c:pt idx="0">
                  <c:v>34977115996.697479</c:v>
                </c:pt>
                <c:pt idx="1">
                  <c:v>25645423101.122116</c:v>
                </c:pt>
                <c:pt idx="2">
                  <c:v>28960100277.394833</c:v>
                </c:pt>
                <c:pt idx="3">
                  <c:v>25271748469.307713</c:v>
                </c:pt>
                <c:pt idx="4">
                  <c:v>32468884319.826706</c:v>
                </c:pt>
                <c:pt idx="5">
                  <c:v>37007180881.68325</c:v>
                </c:pt>
                <c:pt idx="6">
                  <c:v>35075258946.379997</c:v>
                </c:pt>
                <c:pt idx="7">
                  <c:v>33713422485</c:v>
                </c:pt>
                <c:pt idx="8">
                  <c:v>33784712591.891998</c:v>
                </c:pt>
                <c:pt idx="9">
                  <c:v>39620668162.645546</c:v>
                </c:pt>
                <c:pt idx="10">
                  <c:v>43863044233.280624</c:v>
                </c:pt>
                <c:pt idx="11">
                  <c:v>44628759627.110626</c:v>
                </c:pt>
                <c:pt idx="12">
                  <c:v>54661084679.297684</c:v>
                </c:pt>
                <c:pt idx="13">
                  <c:v>55777664034.26062</c:v>
                </c:pt>
                <c:pt idx="14">
                  <c:v>60512047265.95063</c:v>
                </c:pt>
                <c:pt idx="15">
                  <c:v>61669481358.380615</c:v>
                </c:pt>
                <c:pt idx="16">
                  <c:v>67680570427.437683</c:v>
                </c:pt>
                <c:pt idx="17">
                  <c:v>71184793357.980621</c:v>
                </c:pt>
                <c:pt idx="18">
                  <c:v>70617348344.09201</c:v>
                </c:pt>
                <c:pt idx="19">
                  <c:v>71010593356.459991</c:v>
                </c:pt>
                <c:pt idx="20">
                  <c:v>89803847744.420349</c:v>
                </c:pt>
                <c:pt idx="21">
                  <c:v>93829728840.411758</c:v>
                </c:pt>
                <c:pt idx="22">
                  <c:v>99074925363.574142</c:v>
                </c:pt>
                <c:pt idx="23">
                  <c:v>105006328214.82684</c:v>
                </c:pt>
                <c:pt idx="24">
                  <c:v>108191275376.02998</c:v>
                </c:pt>
                <c:pt idx="25">
                  <c:v>112115019795.84967</c:v>
                </c:pt>
                <c:pt idx="26">
                  <c:v>68692823350.288399</c:v>
                </c:pt>
                <c:pt idx="27">
                  <c:v>82966737841.34494</c:v>
                </c:pt>
                <c:pt idx="28">
                  <c:v>99704032158.562317</c:v>
                </c:pt>
                <c:pt idx="29">
                  <c:v>89376207183.426956</c:v>
                </c:pt>
                <c:pt idx="30">
                  <c:v>84200716971.169434</c:v>
                </c:pt>
                <c:pt idx="31">
                  <c:v>98290872659.120499</c:v>
                </c:pt>
                <c:pt idx="32">
                  <c:v>149919093288.89795</c:v>
                </c:pt>
                <c:pt idx="33">
                  <c:v>194839564131.69479</c:v>
                </c:pt>
                <c:pt idx="34">
                  <c:v>198129737226.02014</c:v>
                </c:pt>
                <c:pt idx="35">
                  <c:v>188755209639.47495</c:v>
                </c:pt>
                <c:pt idx="36">
                  <c:v>192940305870.36798</c:v>
                </c:pt>
                <c:pt idx="37">
                  <c:v>193970723577.53998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D6-3B45-85C9-CC4C7EAA0914}"/>
            </c:ext>
          </c:extLst>
        </c:ser>
        <c:ser>
          <c:idx val="4"/>
          <c:order val="4"/>
          <c:tx>
            <c:v>Hydrocarbures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Ouganda!$C$24:$AN$24</c:f>
              <c:numCache>
                <c:formatCode>General</c:formatCode>
                <c:ptCount val="38"/>
                <c:pt idx="0">
                  <c:v>2646048358457.5186</c:v>
                </c:pt>
                <c:pt idx="1">
                  <c:v>1688843978724.2419</c:v>
                </c:pt>
                <c:pt idx="2">
                  <c:v>2005502225357.8953</c:v>
                </c:pt>
                <c:pt idx="3">
                  <c:v>1952725851024.0056</c:v>
                </c:pt>
                <c:pt idx="4">
                  <c:v>2010996752002.7014</c:v>
                </c:pt>
                <c:pt idx="5">
                  <c:v>2163831348402.501</c:v>
                </c:pt>
                <c:pt idx="6">
                  <c:v>2316882834043.1699</c:v>
                </c:pt>
                <c:pt idx="7">
                  <c:v>2033612512206.1797</c:v>
                </c:pt>
                <c:pt idx="8">
                  <c:v>3095609352891.8218</c:v>
                </c:pt>
                <c:pt idx="9">
                  <c:v>2822235655004.041</c:v>
                </c:pt>
                <c:pt idx="10">
                  <c:v>3045063025342.167</c:v>
                </c:pt>
                <c:pt idx="11">
                  <c:v>3309860005013.2319</c:v>
                </c:pt>
                <c:pt idx="12">
                  <c:v>3479076637508.5093</c:v>
                </c:pt>
                <c:pt idx="13">
                  <c:v>3577002215024.7573</c:v>
                </c:pt>
                <c:pt idx="14">
                  <c:v>3678656782520.1724</c:v>
                </c:pt>
                <c:pt idx="15">
                  <c:v>3630979738733.7568</c:v>
                </c:pt>
                <c:pt idx="16">
                  <c:v>3695251648013.5391</c:v>
                </c:pt>
                <c:pt idx="17">
                  <c:v>3792167792292.3569</c:v>
                </c:pt>
                <c:pt idx="18">
                  <c:v>4299164582496.0117</c:v>
                </c:pt>
                <c:pt idx="19">
                  <c:v>4299169019004.8096</c:v>
                </c:pt>
                <c:pt idx="20">
                  <c:v>5036447952535.2764</c:v>
                </c:pt>
                <c:pt idx="21">
                  <c:v>5166291813745.9814</c:v>
                </c:pt>
                <c:pt idx="22">
                  <c:v>5217258601676.0244</c:v>
                </c:pt>
                <c:pt idx="23">
                  <c:v>5477012003346.2979</c:v>
                </c:pt>
                <c:pt idx="24">
                  <c:v>5796976503451.4238</c:v>
                </c:pt>
                <c:pt idx="25">
                  <c:v>7232526911934.3594</c:v>
                </c:pt>
                <c:pt idx="26">
                  <c:v>8581996624097.6445</c:v>
                </c:pt>
                <c:pt idx="27">
                  <c:v>10400530116398.344</c:v>
                </c:pt>
                <c:pt idx="28">
                  <c:v>10394886474861.58</c:v>
                </c:pt>
                <c:pt idx="29">
                  <c:v>11244250347181.354</c:v>
                </c:pt>
                <c:pt idx="30">
                  <c:v>12947690354841.59</c:v>
                </c:pt>
                <c:pt idx="31">
                  <c:v>13757428916078.781</c:v>
                </c:pt>
                <c:pt idx="32">
                  <c:v>13045241299415.221</c:v>
                </c:pt>
                <c:pt idx="33">
                  <c:v>13584160155710.414</c:v>
                </c:pt>
                <c:pt idx="34">
                  <c:v>16412175453981.455</c:v>
                </c:pt>
                <c:pt idx="35">
                  <c:v>16335667559812.428</c:v>
                </c:pt>
                <c:pt idx="36">
                  <c:v>16937264329605.168</c:v>
                </c:pt>
                <c:pt idx="37">
                  <c:v>16340630795760.004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8D6-3B45-85C9-CC4C7EAA0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085775"/>
        <c:axId val="1278772479"/>
      </c:scatterChart>
      <c:valAx>
        <c:axId val="1279085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Années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8772479"/>
        <c:crosses val="autoZero"/>
        <c:crossBetween val="midCat"/>
      </c:valAx>
      <c:valAx>
        <c:axId val="127877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Rejet de CO2 en 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9085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Part du rejet de CO2 aux Ouganda en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F4B-9B4F-99D0-47044FF705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F4B-9B4F-99D0-47044FF705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F4B-9B4F-99D0-47044FF705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F4B-9B4F-99D0-47044FF705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(Ouganda!$AN$15,Ouganda!$AN$20,Ouganda!$AN$25,Ouganda!$AN$30)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98.826879962297937</c:v>
                </c:pt>
                <c:pt idx="3">
                  <c:v>1.1731200377020721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4B-9B4F-99D0-47044FF7057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983568628941328"/>
          <c:y val="0.45631572393634723"/>
          <c:w val="6.824831515655061E-2"/>
          <c:h val="0.14995088257436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Consommation énergétique par année au Ouganda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Consommation énergétique global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Ouganda!$C$9:$AN$9</c:f>
              <c:numCache>
                <c:formatCode>General</c:formatCode>
                <c:ptCount val="38"/>
                <c:pt idx="0">
                  <c:v>4790290694.6138067</c:v>
                </c:pt>
                <c:pt idx="1">
                  <c:v>3223471130.6010942</c:v>
                </c:pt>
                <c:pt idx="2">
                  <c:v>3753179985.5455418</c:v>
                </c:pt>
                <c:pt idx="3">
                  <c:v>3508099895.9068885</c:v>
                </c:pt>
                <c:pt idx="4">
                  <c:v>3934934735.5345531</c:v>
                </c:pt>
                <c:pt idx="5">
                  <c:v>4337521513.5122662</c:v>
                </c:pt>
                <c:pt idx="6">
                  <c:v>4416846664.6099997</c:v>
                </c:pt>
                <c:pt idx="7">
                  <c:v>4023156770.4639997</c:v>
                </c:pt>
                <c:pt idx="8">
                  <c:v>5247407299.5852003</c:v>
                </c:pt>
                <c:pt idx="9">
                  <c:v>5224982436.8725538</c:v>
                </c:pt>
                <c:pt idx="10">
                  <c:v>5693224654.5860615</c:v>
                </c:pt>
                <c:pt idx="11">
                  <c:v>6035874768.7270622</c:v>
                </c:pt>
                <c:pt idx="12">
                  <c:v>6731992897.7677689</c:v>
                </c:pt>
                <c:pt idx="13">
                  <c:v>6900380000.592062</c:v>
                </c:pt>
                <c:pt idx="14">
                  <c:v>7253943492.6310625</c:v>
                </c:pt>
                <c:pt idx="15">
                  <c:v>7257013997.4980621</c:v>
                </c:pt>
                <c:pt idx="16">
                  <c:v>7631444208.7437687</c:v>
                </c:pt>
                <c:pt idx="17">
                  <c:v>7918053222.2580614</c:v>
                </c:pt>
                <c:pt idx="18">
                  <c:v>8472435902.8321991</c:v>
                </c:pt>
                <c:pt idx="19">
                  <c:v>8492103252.8860006</c:v>
                </c:pt>
                <c:pt idx="20">
                  <c:v>10279213022.319035</c:v>
                </c:pt>
                <c:pt idx="21">
                  <c:v>10629752894.601883</c:v>
                </c:pt>
                <c:pt idx="22">
                  <c:v>10950595235.622707</c:v>
                </c:pt>
                <c:pt idx="23">
                  <c:v>11545732506.541977</c:v>
                </c:pt>
                <c:pt idx="24">
                  <c:v>12072755152.078707</c:v>
                </c:pt>
                <c:pt idx="25">
                  <c:v>13919000313.854967</c:v>
                </c:pt>
                <c:pt idx="26">
                  <c:v>13299005103.258839</c:v>
                </c:pt>
                <c:pt idx="27">
                  <c:v>16102969209.766493</c:v>
                </c:pt>
                <c:pt idx="28">
                  <c:v>16933346981.33194</c:v>
                </c:pt>
                <c:pt idx="29">
                  <c:v>17393236045.586697</c:v>
                </c:pt>
                <c:pt idx="30">
                  <c:v>19092438555.272648</c:v>
                </c:pt>
                <c:pt idx="31">
                  <c:v>20727680318.10376</c:v>
                </c:pt>
                <c:pt idx="32">
                  <c:v>22490484893.657795</c:v>
                </c:pt>
                <c:pt idx="33">
                  <c:v>25355955397.056774</c:v>
                </c:pt>
                <c:pt idx="34">
                  <c:v>28771056348.636013</c:v>
                </c:pt>
                <c:pt idx="35">
                  <c:v>28214389861.068497</c:v>
                </c:pt>
                <c:pt idx="36">
                  <c:v>29115135212.604805</c:v>
                </c:pt>
                <c:pt idx="37">
                  <c:v>28480870426.876999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74-0841-A7B9-5181D0B9B8A0}"/>
            </c:ext>
          </c:extLst>
        </c:ser>
        <c:ser>
          <c:idx val="1"/>
          <c:order val="1"/>
          <c:tx>
            <c:v>Charbon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Ouganda!$C$13:$AN$13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74-0841-A7B9-5181D0B9B8A0}"/>
            </c:ext>
          </c:extLst>
        </c:ser>
        <c:ser>
          <c:idx val="2"/>
          <c:order val="2"/>
          <c:tx>
            <c:v>Gaz naturel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Ouganda!$C$18:$AN$18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74-0841-A7B9-5181D0B9B8A0}"/>
            </c:ext>
          </c:extLst>
        </c:ser>
        <c:ser>
          <c:idx val="3"/>
          <c:order val="3"/>
          <c:tx>
            <c:v>Nucléaire et renouvelables 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Ouganda!$C$28:$AN$28</c:f>
              <c:numCache>
                <c:formatCode>General</c:formatCode>
                <c:ptCount val="38"/>
                <c:pt idx="0">
                  <c:v>1748855799.8348742</c:v>
                </c:pt>
                <c:pt idx="1">
                  <c:v>1282271155.0561059</c:v>
                </c:pt>
                <c:pt idx="2">
                  <c:v>1448005013.8697417</c:v>
                </c:pt>
                <c:pt idx="3">
                  <c:v>1263587423.4653857</c:v>
                </c:pt>
                <c:pt idx="4">
                  <c:v>1623444215.9913354</c:v>
                </c:pt>
                <c:pt idx="5">
                  <c:v>1850359044.0841625</c:v>
                </c:pt>
                <c:pt idx="6">
                  <c:v>1753762947.319</c:v>
                </c:pt>
                <c:pt idx="7">
                  <c:v>1685671124.25</c:v>
                </c:pt>
                <c:pt idx="8">
                  <c:v>1689235629.5946</c:v>
                </c:pt>
                <c:pt idx="9">
                  <c:v>1981033408.1322773</c:v>
                </c:pt>
                <c:pt idx="10">
                  <c:v>2193152211.664031</c:v>
                </c:pt>
                <c:pt idx="11">
                  <c:v>2231437981.3555312</c:v>
                </c:pt>
                <c:pt idx="12">
                  <c:v>2733054233.9648843</c:v>
                </c:pt>
                <c:pt idx="13">
                  <c:v>2788883201.7130308</c:v>
                </c:pt>
                <c:pt idx="14">
                  <c:v>3025602363.2975316</c:v>
                </c:pt>
                <c:pt idx="15">
                  <c:v>3083474067.9190307</c:v>
                </c:pt>
                <c:pt idx="16">
                  <c:v>3384028521.3718843</c:v>
                </c:pt>
                <c:pt idx="17">
                  <c:v>3559239667.8990307</c:v>
                </c:pt>
                <c:pt idx="18">
                  <c:v>3530867417.2046003</c:v>
                </c:pt>
                <c:pt idx="19">
                  <c:v>3550529667.823</c:v>
                </c:pt>
                <c:pt idx="20">
                  <c:v>4490192387.2210178</c:v>
                </c:pt>
                <c:pt idx="21">
                  <c:v>4691486442.0205879</c:v>
                </c:pt>
                <c:pt idx="22">
                  <c:v>4953746268.1787071</c:v>
                </c:pt>
                <c:pt idx="23">
                  <c:v>5250316410.7413425</c:v>
                </c:pt>
                <c:pt idx="24">
                  <c:v>5409563768.8014994</c:v>
                </c:pt>
                <c:pt idx="25">
                  <c:v>5605750989.7924833</c:v>
                </c:pt>
                <c:pt idx="26">
                  <c:v>3434641167.51442</c:v>
                </c:pt>
                <c:pt idx="27">
                  <c:v>4148336892.0672469</c:v>
                </c:pt>
                <c:pt idx="28">
                  <c:v>4985201607.9281158</c:v>
                </c:pt>
                <c:pt idx="29">
                  <c:v>4468810359.1713476</c:v>
                </c:pt>
                <c:pt idx="30">
                  <c:v>4210035848.5584717</c:v>
                </c:pt>
                <c:pt idx="31">
                  <c:v>4914543632.9560251</c:v>
                </c:pt>
                <c:pt idx="32">
                  <c:v>7495954664.4448967</c:v>
                </c:pt>
                <c:pt idx="33">
                  <c:v>9741978206.5847397</c:v>
                </c:pt>
                <c:pt idx="34">
                  <c:v>9906486861.3010063</c:v>
                </c:pt>
                <c:pt idx="35">
                  <c:v>9437760481.9737473</c:v>
                </c:pt>
                <c:pt idx="36">
                  <c:v>9647015293.5183983</c:v>
                </c:pt>
                <c:pt idx="37">
                  <c:v>9698536178.8769989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74-0841-A7B9-5181D0B9B8A0}"/>
            </c:ext>
          </c:extLst>
        </c:ser>
        <c:ser>
          <c:idx val="4"/>
          <c:order val="4"/>
          <c:tx>
            <c:v>Hydrocarbures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Ouganda!$C$23:$AN$23</c:f>
              <c:numCache>
                <c:formatCode>General</c:formatCode>
                <c:ptCount val="38"/>
                <c:pt idx="0">
                  <c:v>3041434894.7787571</c:v>
                </c:pt>
                <c:pt idx="1">
                  <c:v>1941199975.5451057</c:v>
                </c:pt>
                <c:pt idx="2">
                  <c:v>2305174971.6757417</c:v>
                </c:pt>
                <c:pt idx="3">
                  <c:v>2244512472.4413857</c:v>
                </c:pt>
                <c:pt idx="4">
                  <c:v>2311490519.543335</c:v>
                </c:pt>
                <c:pt idx="5">
                  <c:v>2487162469.4281621</c:v>
                </c:pt>
                <c:pt idx="6">
                  <c:v>2663083717.2909999</c:v>
                </c:pt>
                <c:pt idx="7">
                  <c:v>2337485646.2139997</c:v>
                </c:pt>
                <c:pt idx="8">
                  <c:v>3558171669.9905996</c:v>
                </c:pt>
                <c:pt idx="9">
                  <c:v>3243949028.7402768</c:v>
                </c:pt>
                <c:pt idx="10">
                  <c:v>3500072442.9220309</c:v>
                </c:pt>
                <c:pt idx="11">
                  <c:v>3804436787.371531</c:v>
                </c:pt>
                <c:pt idx="12">
                  <c:v>3998938663.8028841</c:v>
                </c:pt>
                <c:pt idx="13">
                  <c:v>4111496798.8790312</c:v>
                </c:pt>
                <c:pt idx="14">
                  <c:v>4228341129.3335314</c:v>
                </c:pt>
                <c:pt idx="15">
                  <c:v>4173539929.579031</c:v>
                </c:pt>
                <c:pt idx="16">
                  <c:v>4247415687.3718839</c:v>
                </c:pt>
                <c:pt idx="17">
                  <c:v>4358813554.3590307</c:v>
                </c:pt>
                <c:pt idx="18">
                  <c:v>4941568485.6275997</c:v>
                </c:pt>
                <c:pt idx="19">
                  <c:v>4941573585.0629997</c:v>
                </c:pt>
                <c:pt idx="20">
                  <c:v>5789020635.0980186</c:v>
                </c:pt>
                <c:pt idx="21">
                  <c:v>5938266452.5815878</c:v>
                </c:pt>
                <c:pt idx="22">
                  <c:v>5996848967.4437065</c:v>
                </c:pt>
                <c:pt idx="23">
                  <c:v>6295416095.8003426</c:v>
                </c:pt>
                <c:pt idx="24">
                  <c:v>6663191383.2774992</c:v>
                </c:pt>
                <c:pt idx="25">
                  <c:v>8313249324.0624819</c:v>
                </c:pt>
                <c:pt idx="26">
                  <c:v>9864363935.7444191</c:v>
                </c:pt>
                <c:pt idx="27">
                  <c:v>11954632317.699245</c:v>
                </c:pt>
                <c:pt idx="28">
                  <c:v>11948145373.404116</c:v>
                </c:pt>
                <c:pt idx="29">
                  <c:v>12924425686.415348</c:v>
                </c:pt>
                <c:pt idx="30">
                  <c:v>14882402706.714472</c:v>
                </c:pt>
                <c:pt idx="31">
                  <c:v>15813136685.148026</c:v>
                </c:pt>
                <c:pt idx="32">
                  <c:v>14994530229.212898</c:v>
                </c:pt>
                <c:pt idx="33">
                  <c:v>15613977190.471741</c:v>
                </c:pt>
                <c:pt idx="34">
                  <c:v>18864569487.335007</c:v>
                </c:pt>
                <c:pt idx="35">
                  <c:v>18776629379.094746</c:v>
                </c:pt>
                <c:pt idx="36">
                  <c:v>19468119919.086399</c:v>
                </c:pt>
                <c:pt idx="37">
                  <c:v>18782334248.000004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74-0841-A7B9-5181D0B9B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085775"/>
        <c:axId val="1278772479"/>
      </c:scatterChart>
      <c:valAx>
        <c:axId val="1279085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Années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8772479"/>
        <c:crosses val="autoZero"/>
        <c:crossBetween val="midCat"/>
      </c:valAx>
      <c:valAx>
        <c:axId val="127877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Rejet de CO2 en 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9085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Emissions CO2 Ouganda, scénario mix énergétique USA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Ouganda!$AQ$15:$AQ$48</c:f>
              <c:numCache>
                <c:formatCode>General</c:formatCode>
                <c:ptCount val="3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</c:numCache>
            </c:numRef>
          </c:xVal>
          <c:yVal>
            <c:numRef>
              <c:f>Ouganda!$BH$15:$BH$48</c:f>
              <c:numCache>
                <c:formatCode>General</c:formatCode>
                <c:ptCount val="34"/>
                <c:pt idx="0">
                  <c:v>16534601.519337544</c:v>
                </c:pt>
                <c:pt idx="1">
                  <c:v>16624616.752365269</c:v>
                </c:pt>
                <c:pt idx="2">
                  <c:v>16706400.062685641</c:v>
                </c:pt>
                <c:pt idx="3">
                  <c:v>16786248.878507912</c:v>
                </c:pt>
                <c:pt idx="4">
                  <c:v>16804794.564160518</c:v>
                </c:pt>
                <c:pt idx="5">
                  <c:v>16894297.931585219</c:v>
                </c:pt>
                <c:pt idx="6">
                  <c:v>17068742.977512751</c:v>
                </c:pt>
                <c:pt idx="7">
                  <c:v>17144923.440878022</c:v>
                </c:pt>
                <c:pt idx="8">
                  <c:v>17224410.339722294</c:v>
                </c:pt>
                <c:pt idx="9">
                  <c:v>17293131.150090076</c:v>
                </c:pt>
                <c:pt idx="10">
                  <c:v>17588740.975284025</c:v>
                </c:pt>
                <c:pt idx="11">
                  <c:v>17583934.930585753</c:v>
                </c:pt>
                <c:pt idx="12">
                  <c:v>17521767.305815361</c:v>
                </c:pt>
                <c:pt idx="13">
                  <c:v>17568822.078629892</c:v>
                </c:pt>
                <c:pt idx="14">
                  <c:v>17586521.450125523</c:v>
                </c:pt>
                <c:pt idx="15">
                  <c:v>17656064.883285113</c:v>
                </c:pt>
                <c:pt idx="16">
                  <c:v>17740116.944277391</c:v>
                </c:pt>
                <c:pt idx="17">
                  <c:v>17823874.474798236</c:v>
                </c:pt>
                <c:pt idx="18">
                  <c:v>17896654.036509059</c:v>
                </c:pt>
                <c:pt idx="19">
                  <c:v>17988007.348754581</c:v>
                </c:pt>
                <c:pt idx="20">
                  <c:v>18110587.295415327</c:v>
                </c:pt>
                <c:pt idx="21">
                  <c:v>18196915.234022584</c:v>
                </c:pt>
                <c:pt idx="22">
                  <c:v>18297742.894587237</c:v>
                </c:pt>
                <c:pt idx="23">
                  <c:v>18366929.627141144</c:v>
                </c:pt>
                <c:pt idx="24">
                  <c:v>18474912.455671839</c:v>
                </c:pt>
                <c:pt idx="25">
                  <c:v>18537153.894515503</c:v>
                </c:pt>
                <c:pt idx="26">
                  <c:v>18622020.362931896</c:v>
                </c:pt>
                <c:pt idx="27">
                  <c:v>18669401.187735289</c:v>
                </c:pt>
                <c:pt idx="28">
                  <c:v>18725013.229551721</c:v>
                </c:pt>
                <c:pt idx="29">
                  <c:v>18752944.334813405</c:v>
                </c:pt>
                <c:pt idx="30">
                  <c:v>18783533.619584177</c:v>
                </c:pt>
                <c:pt idx="31">
                  <c:v>18810902.247006014</c:v>
                </c:pt>
                <c:pt idx="32">
                  <c:v>18834585.714402411</c:v>
                </c:pt>
                <c:pt idx="33">
                  <c:v>18869504.110199824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70-4136-AAE1-0A81860B8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543568"/>
        <c:axId val="319713272"/>
      </c:scatterChart>
      <c:valAx>
        <c:axId val="343543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19713272"/>
        <c:crosses val="autoZero"/>
        <c:crossBetween val="midCat"/>
      </c:valAx>
      <c:valAx>
        <c:axId val="31971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Emissions</a:t>
                </a:r>
                <a:r>
                  <a:rPr lang="fr-FR" baseline="0"/>
                  <a:t> CO2 en tonnes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3543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Rejet</a:t>
            </a:r>
            <a:r>
              <a:rPr lang="en-US" baseline="0"/>
              <a:t> C02 en g par année en Norvège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Rejet de CO2 global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Norvège!$C$10:$AN$10</c:f>
              <c:numCache>
                <c:formatCode>General</c:formatCode>
                <c:ptCount val="38"/>
                <c:pt idx="0">
                  <c:v>124770896395836.8</c:v>
                </c:pt>
                <c:pt idx="1">
                  <c:v>116502018635124.03</c:v>
                </c:pt>
                <c:pt idx="2">
                  <c:v>107558417621324.31</c:v>
                </c:pt>
                <c:pt idx="3">
                  <c:v>107630054022816.3</c:v>
                </c:pt>
                <c:pt idx="4">
                  <c:v>115758902447352.72</c:v>
                </c:pt>
                <c:pt idx="5">
                  <c:v>120580111923225.13</c:v>
                </c:pt>
                <c:pt idx="6">
                  <c:v>128004112284848.67</c:v>
                </c:pt>
                <c:pt idx="7">
                  <c:v>124691539308376.09</c:v>
                </c:pt>
                <c:pt idx="8">
                  <c:v>122259443312500.63</c:v>
                </c:pt>
                <c:pt idx="9">
                  <c:v>118596772737131.67</c:v>
                </c:pt>
                <c:pt idx="10">
                  <c:v>124848042272859.03</c:v>
                </c:pt>
                <c:pt idx="11">
                  <c:v>118182580072298.98</c:v>
                </c:pt>
                <c:pt idx="12">
                  <c:v>125294348584083.61</c:v>
                </c:pt>
                <c:pt idx="13">
                  <c:v>123412073078908.45</c:v>
                </c:pt>
                <c:pt idx="14">
                  <c:v>127342990496450.89</c:v>
                </c:pt>
                <c:pt idx="15">
                  <c:v>133773820017352.09</c:v>
                </c:pt>
                <c:pt idx="16">
                  <c:v>139118000073280.19</c:v>
                </c:pt>
                <c:pt idx="17">
                  <c:v>142710528936746.09</c:v>
                </c:pt>
                <c:pt idx="18">
                  <c:v>144209905940896.59</c:v>
                </c:pt>
                <c:pt idx="19">
                  <c:v>147908646333497.44</c:v>
                </c:pt>
                <c:pt idx="20">
                  <c:v>140099302877567.27</c:v>
                </c:pt>
                <c:pt idx="21">
                  <c:v>145944651948114.41</c:v>
                </c:pt>
                <c:pt idx="22">
                  <c:v>147457532507484.59</c:v>
                </c:pt>
                <c:pt idx="23">
                  <c:v>156266974589180.16</c:v>
                </c:pt>
                <c:pt idx="24">
                  <c:v>158543627826416.72</c:v>
                </c:pt>
                <c:pt idx="25">
                  <c:v>150086237269033.78</c:v>
                </c:pt>
                <c:pt idx="26">
                  <c:v>144906526355208.53</c:v>
                </c:pt>
                <c:pt idx="27">
                  <c:v>156421706250102.94</c:v>
                </c:pt>
                <c:pt idx="28">
                  <c:v>144242373943392.63</c:v>
                </c:pt>
                <c:pt idx="29">
                  <c:v>155288690488046.25</c:v>
                </c:pt>
                <c:pt idx="30">
                  <c:v>145482044067067.56</c:v>
                </c:pt>
                <c:pt idx="31">
                  <c:v>140626058539505.53</c:v>
                </c:pt>
                <c:pt idx="32">
                  <c:v>139335014786130.56</c:v>
                </c:pt>
                <c:pt idx="33">
                  <c:v>141986187240510.22</c:v>
                </c:pt>
                <c:pt idx="34">
                  <c:v>141478380858658.63</c:v>
                </c:pt>
                <c:pt idx="35">
                  <c:v>145597689057754.34</c:v>
                </c:pt>
                <c:pt idx="36">
                  <c:v>146690545141304.78</c:v>
                </c:pt>
                <c:pt idx="37">
                  <c:v>142432175747926.19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7B-0F4E-93ED-05DDA4D63515}"/>
            </c:ext>
          </c:extLst>
        </c:ser>
        <c:ser>
          <c:idx val="1"/>
          <c:order val="1"/>
          <c:tx>
            <c:v>Charbon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Norvège!$C$14:$AN$14</c:f>
              <c:numCache>
                <c:formatCode>General</c:formatCode>
                <c:ptCount val="38"/>
                <c:pt idx="0">
                  <c:v>7249086853572.2344</c:v>
                </c:pt>
                <c:pt idx="1">
                  <c:v>7646399783499.0098</c:v>
                </c:pt>
                <c:pt idx="2">
                  <c:v>7653896253875.0127</c:v>
                </c:pt>
                <c:pt idx="3">
                  <c:v>7743853898386.7734</c:v>
                </c:pt>
                <c:pt idx="4">
                  <c:v>8208635061697.5771</c:v>
                </c:pt>
                <c:pt idx="5">
                  <c:v>8276103295081.3291</c:v>
                </c:pt>
                <c:pt idx="6">
                  <c:v>7758846839138.7803</c:v>
                </c:pt>
                <c:pt idx="7">
                  <c:v>7833811542898.5332</c:v>
                </c:pt>
                <c:pt idx="8">
                  <c:v>7578931550115.2607</c:v>
                </c:pt>
                <c:pt idx="9">
                  <c:v>5944701008151.8594</c:v>
                </c:pt>
                <c:pt idx="10">
                  <c:v>5809764541384.082</c:v>
                </c:pt>
                <c:pt idx="11">
                  <c:v>5082606914914.001</c:v>
                </c:pt>
                <c:pt idx="12">
                  <c:v>5150075148298.0303</c:v>
                </c:pt>
                <c:pt idx="13">
                  <c:v>5719806896872.3203</c:v>
                </c:pt>
                <c:pt idx="14">
                  <c:v>6604390401237.9111</c:v>
                </c:pt>
                <c:pt idx="15">
                  <c:v>7316555086955.9854</c:v>
                </c:pt>
                <c:pt idx="16">
                  <c:v>7181618620188.4844</c:v>
                </c:pt>
                <c:pt idx="17">
                  <c:v>7069171564548.7148</c:v>
                </c:pt>
                <c:pt idx="18">
                  <c:v>7803825661394.5205</c:v>
                </c:pt>
                <c:pt idx="19">
                  <c:v>7518959787107.5137</c:v>
                </c:pt>
                <c:pt idx="20">
                  <c:v>7414009201843.7471</c:v>
                </c:pt>
                <c:pt idx="21">
                  <c:v>6589397460485.9053</c:v>
                </c:pt>
                <c:pt idx="22">
                  <c:v>5862239834015.8252</c:v>
                </c:pt>
                <c:pt idx="23">
                  <c:v>5667331604240.5771</c:v>
                </c:pt>
                <c:pt idx="24">
                  <c:v>6334517467702.6318</c:v>
                </c:pt>
                <c:pt idx="25">
                  <c:v>5389962200329.2959</c:v>
                </c:pt>
                <c:pt idx="26">
                  <c:v>4625322221979.4775</c:v>
                </c:pt>
                <c:pt idx="27">
                  <c:v>5060117503786.2695</c:v>
                </c:pt>
                <c:pt idx="28">
                  <c:v>5225039852057.7832</c:v>
                </c:pt>
                <c:pt idx="29">
                  <c:v>3928150477013.1318</c:v>
                </c:pt>
                <c:pt idx="30">
                  <c:v>5097599855666.0078</c:v>
                </c:pt>
                <c:pt idx="31">
                  <c:v>5344983378073.2773</c:v>
                </c:pt>
                <c:pt idx="32">
                  <c:v>5584870430104.8203</c:v>
                </c:pt>
                <c:pt idx="33">
                  <c:v>5809764541384.082</c:v>
                </c:pt>
                <c:pt idx="34">
                  <c:v>6140943177940.7441</c:v>
                </c:pt>
                <c:pt idx="35">
                  <c:v>5590495570565.415</c:v>
                </c:pt>
                <c:pt idx="36">
                  <c:v>5584874140429.957</c:v>
                </c:pt>
                <c:pt idx="37">
                  <c:v>6212059902323.2803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7B-0F4E-93ED-05DDA4D63515}"/>
            </c:ext>
          </c:extLst>
        </c:ser>
        <c:ser>
          <c:idx val="2"/>
          <c:order val="2"/>
          <c:tx>
            <c:v>Gaz naturel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Norvège!$C$19:$AN$19</c:f>
              <c:numCache>
                <c:formatCode>General</c:formatCode>
                <c:ptCount val="38"/>
                <c:pt idx="0">
                  <c:v>4380458969250</c:v>
                </c:pt>
                <c:pt idx="1">
                  <c:v>4274733606000</c:v>
                </c:pt>
                <c:pt idx="2">
                  <c:v>4823133922620</c:v>
                </c:pt>
                <c:pt idx="3">
                  <c:v>5688824626680</c:v>
                </c:pt>
                <c:pt idx="4">
                  <c:v>5047043097330</c:v>
                </c:pt>
                <c:pt idx="5">
                  <c:v>5882330615850</c:v>
                </c:pt>
                <c:pt idx="6">
                  <c:v>10719523154340</c:v>
                </c:pt>
                <c:pt idx="7">
                  <c:v>7433921757600</c:v>
                </c:pt>
                <c:pt idx="8">
                  <c:v>8680909555500</c:v>
                </c:pt>
                <c:pt idx="9">
                  <c:v>9052948536450</c:v>
                </c:pt>
                <c:pt idx="10">
                  <c:v>9975902383200</c:v>
                </c:pt>
                <c:pt idx="11">
                  <c:v>9699759164160</c:v>
                </c:pt>
                <c:pt idx="12">
                  <c:v>16314874319767.379</c:v>
                </c:pt>
                <c:pt idx="13">
                  <c:v>11311465175965.498</c:v>
                </c:pt>
                <c:pt idx="14">
                  <c:v>11815573994733.602</c:v>
                </c:pt>
                <c:pt idx="15">
                  <c:v>12997327529043</c:v>
                </c:pt>
                <c:pt idx="16">
                  <c:v>12946422881145.391</c:v>
                </c:pt>
                <c:pt idx="17">
                  <c:v>16205350020192.332</c:v>
                </c:pt>
                <c:pt idx="18">
                  <c:v>15766267934699.098</c:v>
                </c:pt>
                <c:pt idx="19">
                  <c:v>19172928152704.051</c:v>
                </c:pt>
                <c:pt idx="20">
                  <c:v>17370665317874.779</c:v>
                </c:pt>
                <c:pt idx="21">
                  <c:v>20059326626452.113</c:v>
                </c:pt>
                <c:pt idx="22">
                  <c:v>23453231748022.441</c:v>
                </c:pt>
                <c:pt idx="23">
                  <c:v>27344060895563.277</c:v>
                </c:pt>
                <c:pt idx="24">
                  <c:v>34734347624093.887</c:v>
                </c:pt>
                <c:pt idx="25">
                  <c:v>22976126558600.672</c:v>
                </c:pt>
                <c:pt idx="26">
                  <c:v>14598127140971.008</c:v>
                </c:pt>
                <c:pt idx="27">
                  <c:v>19000653622378.152</c:v>
                </c:pt>
                <c:pt idx="28">
                  <c:v>14973837386583.35</c:v>
                </c:pt>
                <c:pt idx="29">
                  <c:v>28071101392336.957</c:v>
                </c:pt>
                <c:pt idx="30">
                  <c:v>23675813081955.617</c:v>
                </c:pt>
                <c:pt idx="31">
                  <c:v>19561576788399.316</c:v>
                </c:pt>
                <c:pt idx="32">
                  <c:v>18523787128462.07</c:v>
                </c:pt>
                <c:pt idx="33">
                  <c:v>21970391668025.488</c:v>
                </c:pt>
                <c:pt idx="34">
                  <c:v>24958042938427.895</c:v>
                </c:pt>
                <c:pt idx="35">
                  <c:v>22237460012297.969</c:v>
                </c:pt>
                <c:pt idx="36">
                  <c:v>21255278439562.051</c:v>
                </c:pt>
                <c:pt idx="37">
                  <c:v>17267025992696.59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7B-0F4E-93ED-05DDA4D63515}"/>
            </c:ext>
          </c:extLst>
        </c:ser>
        <c:ser>
          <c:idx val="3"/>
          <c:order val="3"/>
          <c:tx>
            <c:v>Nucléaire et renouvelables 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Norvège!$C$29:$AN$29</c:f>
              <c:numCache>
                <c:formatCode>General</c:formatCode>
                <c:ptCount val="38"/>
                <c:pt idx="0">
                  <c:v>5109837121191.54</c:v>
                </c:pt>
                <c:pt idx="1">
                  <c:v>5594761780051.6504</c:v>
                </c:pt>
                <c:pt idx="2">
                  <c:v>5552963715337.1914</c:v>
                </c:pt>
                <c:pt idx="3">
                  <c:v>6245188525256.2617</c:v>
                </c:pt>
                <c:pt idx="4">
                  <c:v>6341127606760.3789</c:v>
                </c:pt>
                <c:pt idx="5">
                  <c:v>6298007428820.9434</c:v>
                </c:pt>
                <c:pt idx="6">
                  <c:v>5958139708640.5654</c:v>
                </c:pt>
                <c:pt idx="7">
                  <c:v>6306513402665.3115</c:v>
                </c:pt>
                <c:pt idx="8">
                  <c:v>6499452848302.543</c:v>
                </c:pt>
                <c:pt idx="9">
                  <c:v>6993134427870.6152</c:v>
                </c:pt>
                <c:pt idx="10">
                  <c:v>7097239743383.2168</c:v>
                </c:pt>
                <c:pt idx="11">
                  <c:v>6711236761894.4121</c:v>
                </c:pt>
                <c:pt idx="12">
                  <c:v>6922376146306.1123</c:v>
                </c:pt>
                <c:pt idx="13">
                  <c:v>7064581143156.2598</c:v>
                </c:pt>
                <c:pt idx="14">
                  <c:v>6780368950442.8408</c:v>
                </c:pt>
                <c:pt idx="15">
                  <c:v>7243323207260.8867</c:v>
                </c:pt>
                <c:pt idx="16">
                  <c:v>6532377416104.79</c:v>
                </c:pt>
                <c:pt idx="17">
                  <c:v>6685096218112.957</c:v>
                </c:pt>
                <c:pt idx="18">
                  <c:v>7030997441420.166</c:v>
                </c:pt>
                <c:pt idx="19">
                  <c:v>7283413381672.8799</c:v>
                </c:pt>
                <c:pt idx="20">
                  <c:v>8123644644136.9189</c:v>
                </c:pt>
                <c:pt idx="21">
                  <c:v>7390713468314.5723</c:v>
                </c:pt>
                <c:pt idx="22">
                  <c:v>7528556466863.7832</c:v>
                </c:pt>
                <c:pt idx="23">
                  <c:v>6460854379332.042</c:v>
                </c:pt>
                <c:pt idx="24">
                  <c:v>6664806861772.7773</c:v>
                </c:pt>
                <c:pt idx="25">
                  <c:v>7749986594389.8945</c:v>
                </c:pt>
                <c:pt idx="26">
                  <c:v>7015475308335.6885</c:v>
                </c:pt>
                <c:pt idx="27">
                  <c:v>7621436729123.2236</c:v>
                </c:pt>
                <c:pt idx="28">
                  <c:v>7827269854168.3633</c:v>
                </c:pt>
                <c:pt idx="29">
                  <c:v>7033339537692.1738</c:v>
                </c:pt>
                <c:pt idx="30">
                  <c:v>6953197191891.7695</c:v>
                </c:pt>
                <c:pt idx="31">
                  <c:v>6933662668366.3525</c:v>
                </c:pt>
                <c:pt idx="32">
                  <c:v>7708149628471.6484</c:v>
                </c:pt>
                <c:pt idx="33">
                  <c:v>7239431144029.0234</c:v>
                </c:pt>
                <c:pt idx="34">
                  <c:v>7431602525310.1182</c:v>
                </c:pt>
                <c:pt idx="35">
                  <c:v>7405157955359.4287</c:v>
                </c:pt>
                <c:pt idx="36">
                  <c:v>7590477760220.2129</c:v>
                </c:pt>
                <c:pt idx="37">
                  <c:v>7567907213096.3027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7B-0F4E-93ED-05DDA4D63515}"/>
            </c:ext>
          </c:extLst>
        </c:ser>
        <c:ser>
          <c:idx val="4"/>
          <c:order val="4"/>
          <c:tx>
            <c:v>Hydrocarbures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Norvège!$C$24:$AN$24</c:f>
              <c:numCache>
                <c:formatCode>General</c:formatCode>
                <c:ptCount val="38"/>
                <c:pt idx="0">
                  <c:v>108031513451823.02</c:v>
                </c:pt>
                <c:pt idx="1">
                  <c:v>98986123465573.359</c:v>
                </c:pt>
                <c:pt idx="2">
                  <c:v>89528423729492.109</c:v>
                </c:pt>
                <c:pt idx="3">
                  <c:v>87952186972493.25</c:v>
                </c:pt>
                <c:pt idx="4">
                  <c:v>96162096681564.766</c:v>
                </c:pt>
                <c:pt idx="5">
                  <c:v>100123670583472.86</c:v>
                </c:pt>
                <c:pt idx="6">
                  <c:v>103567602582729.33</c:v>
                </c:pt>
                <c:pt idx="7">
                  <c:v>103117292605212.25</c:v>
                </c:pt>
                <c:pt idx="8">
                  <c:v>99500149358582.813</c:v>
                </c:pt>
                <c:pt idx="9">
                  <c:v>96605988764659.203</c:v>
                </c:pt>
                <c:pt idx="10">
                  <c:v>101965135604891.73</c:v>
                </c:pt>
                <c:pt idx="11">
                  <c:v>96688977231330.578</c:v>
                </c:pt>
                <c:pt idx="12">
                  <c:v>96907022969712.094</c:v>
                </c:pt>
                <c:pt idx="13">
                  <c:v>99316219862914.375</c:v>
                </c:pt>
                <c:pt idx="14">
                  <c:v>102142657150036.53</c:v>
                </c:pt>
                <c:pt idx="15">
                  <c:v>106216614194092.22</c:v>
                </c:pt>
                <c:pt idx="16">
                  <c:v>112457581155841.52</c:v>
                </c:pt>
                <c:pt idx="17">
                  <c:v>112750911133892.08</c:v>
                </c:pt>
                <c:pt idx="18">
                  <c:v>113608814903382.83</c:v>
                </c:pt>
                <c:pt idx="19">
                  <c:v>113933345012013</c:v>
                </c:pt>
                <c:pt idx="20">
                  <c:v>107190983713711.81</c:v>
                </c:pt>
                <c:pt idx="21">
                  <c:v>111905214392861.83</c:v>
                </c:pt>
                <c:pt idx="22">
                  <c:v>110613504458582.53</c:v>
                </c:pt>
                <c:pt idx="23">
                  <c:v>116794727710044.28</c:v>
                </c:pt>
                <c:pt idx="24">
                  <c:v>110809955872847.42</c:v>
                </c:pt>
                <c:pt idx="25">
                  <c:v>113970161915713.92</c:v>
                </c:pt>
                <c:pt idx="26">
                  <c:v>118667601683922.36</c:v>
                </c:pt>
                <c:pt idx="27">
                  <c:v>124739498394815.3</c:v>
                </c:pt>
                <c:pt idx="28">
                  <c:v>116216226850583.13</c:v>
                </c:pt>
                <c:pt idx="29">
                  <c:v>116256099081003.97</c:v>
                </c:pt>
                <c:pt idx="30">
                  <c:v>109755433937554.17</c:v>
                </c:pt>
                <c:pt idx="31">
                  <c:v>108785835704666.58</c:v>
                </c:pt>
                <c:pt idx="32">
                  <c:v>107518207599092.02</c:v>
                </c:pt>
                <c:pt idx="33">
                  <c:v>106966599887071.61</c:v>
                </c:pt>
                <c:pt idx="34">
                  <c:v>102947792216979.88</c:v>
                </c:pt>
                <c:pt idx="35">
                  <c:v>110364575519531.52</c:v>
                </c:pt>
                <c:pt idx="36">
                  <c:v>112259914801092.55</c:v>
                </c:pt>
                <c:pt idx="37">
                  <c:v>111385182639810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7B-0F4E-93ED-05DDA4D63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085775"/>
        <c:axId val="1278772479"/>
      </c:scatterChart>
      <c:valAx>
        <c:axId val="1279085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Années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8772479"/>
        <c:crosses val="autoZero"/>
        <c:crossBetween val="midCat"/>
      </c:valAx>
      <c:valAx>
        <c:axId val="127877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Rejet de CO2 en 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9085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Part du rejet de CO2 en</a:t>
            </a:r>
            <a:r>
              <a:rPr lang="fr-FR" baseline="0"/>
              <a:t> Norvège</a:t>
            </a:r>
            <a:r>
              <a:rPr lang="fr-FR"/>
              <a:t> en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AEE-0845-850B-7942A5B51E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AEE-0845-850B-7942A5B51E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AEE-0845-850B-7942A5B51E7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AEE-0845-850B-7942A5B51E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(USA!$AN$18,USA!$AN$23,USA!$AN$28,USA!$AN$33)</c:f>
              <c:numCache>
                <c:formatCode>General</c:formatCode>
                <c:ptCount val="4"/>
                <c:pt idx="0">
                  <c:v>23.020150948871713</c:v>
                </c:pt>
                <c:pt idx="1">
                  <c:v>19.160382100355534</c:v>
                </c:pt>
                <c:pt idx="2">
                  <c:v>57.179095688984795</c:v>
                </c:pt>
                <c:pt idx="3">
                  <c:v>0.64037126178795878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EE-0845-850B-7942A5B51E7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983568628941328"/>
          <c:y val="0.45631572393634723"/>
          <c:w val="6.824831515655061E-2"/>
          <c:h val="0.14995088257436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Consommation énergétique par année en Norvège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Consommation énergétique global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Norvège!$C$9:$AN$9</c:f>
              <c:numCache>
                <c:formatCode>General</c:formatCode>
                <c:ptCount val="38"/>
                <c:pt idx="0">
                  <c:v>398528573268.08789</c:v>
                </c:pt>
                <c:pt idx="1">
                  <c:v>412524939688.65704</c:v>
                </c:pt>
                <c:pt idx="2">
                  <c:v>400978162895.50763</c:v>
                </c:pt>
                <c:pt idx="3">
                  <c:v>436092049015.46747</c:v>
                </c:pt>
                <c:pt idx="4">
                  <c:v>449169330582.00684</c:v>
                </c:pt>
                <c:pt idx="5">
                  <c:v>453779636966.64587</c:v>
                </c:pt>
                <c:pt idx="6">
                  <c:v>452603370796.58746</c:v>
                </c:pt>
                <c:pt idx="7">
                  <c:v>461158749071.00488</c:v>
                </c:pt>
                <c:pt idx="8">
                  <c:v>469577195317.95581</c:v>
                </c:pt>
                <c:pt idx="9">
                  <c:v>490168356353.2951</c:v>
                </c:pt>
                <c:pt idx="10">
                  <c:v>503758070964.66144</c:v>
                </c:pt>
                <c:pt idx="11">
                  <c:v>476919883419.03345</c:v>
                </c:pt>
                <c:pt idx="12">
                  <c:v>504760332850.49707</c:v>
                </c:pt>
                <c:pt idx="13">
                  <c:v>502410237939.4505</c:v>
                </c:pt>
                <c:pt idx="14">
                  <c:v>493672134040.43976</c:v>
                </c:pt>
                <c:pt idx="15">
                  <c:v>525282340432.44183</c:v>
                </c:pt>
                <c:pt idx="16">
                  <c:v>496636012993.74524</c:v>
                </c:pt>
                <c:pt idx="17">
                  <c:v>512846972100.21692</c:v>
                </c:pt>
                <c:pt idx="18">
                  <c:v>530775598153.00513</c:v>
                </c:pt>
                <c:pt idx="19">
                  <c:v>552204585663.99377</c:v>
                </c:pt>
                <c:pt idx="20">
                  <c:v>581734647158.19299</c:v>
                </c:pt>
                <c:pt idx="21">
                  <c:v>556532735316.11853</c:v>
                </c:pt>
                <c:pt idx="22">
                  <c:v>569877052925.23792</c:v>
                </c:pt>
                <c:pt idx="23">
                  <c:v>533368121296.72125</c:v>
                </c:pt>
                <c:pt idx="24">
                  <c:v>556338451388.99939</c:v>
                </c:pt>
                <c:pt idx="25">
                  <c:v>583086305272.97473</c:v>
                </c:pt>
                <c:pt idx="26">
                  <c:v>529473163049.11914</c:v>
                </c:pt>
                <c:pt idx="27">
                  <c:v>578496634393.7489</c:v>
                </c:pt>
                <c:pt idx="28">
                  <c:v>568839859438.55554</c:v>
                </c:pt>
                <c:pt idx="29">
                  <c:v>561406755273.96069</c:v>
                </c:pt>
                <c:pt idx="30">
                  <c:v>539888638402.74005</c:v>
                </c:pt>
                <c:pt idx="31">
                  <c:v>527508511377.18829</c:v>
                </c:pt>
                <c:pt idx="32">
                  <c:v>562367329141.2334</c:v>
                </c:pt>
                <c:pt idx="33">
                  <c:v>547371551247.00873</c:v>
                </c:pt>
                <c:pt idx="34">
                  <c:v>560370054524.23889</c:v>
                </c:pt>
                <c:pt idx="35">
                  <c:v>560017592114.68848</c:v>
                </c:pt>
                <c:pt idx="36">
                  <c:v>568937801672.11853</c:v>
                </c:pt>
                <c:pt idx="37">
                  <c:v>557237742263.61963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52-B840-820F-14E5D0708EB1}"/>
            </c:ext>
          </c:extLst>
        </c:ser>
        <c:ser>
          <c:idx val="1"/>
          <c:order val="1"/>
          <c:tx>
            <c:v>Charbon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Norvège!$C$13:$AN$13</c:f>
              <c:numCache>
                <c:formatCode>General</c:formatCode>
                <c:ptCount val="38"/>
                <c:pt idx="0">
                  <c:v>7630617740.6023521</c:v>
                </c:pt>
                <c:pt idx="1">
                  <c:v>8048841877.3673792</c:v>
                </c:pt>
                <c:pt idx="2">
                  <c:v>8056732898.8158026</c:v>
                </c:pt>
                <c:pt idx="3">
                  <c:v>8151425156.1966038</c:v>
                </c:pt>
                <c:pt idx="4">
                  <c:v>8640668485.9974499</c:v>
                </c:pt>
                <c:pt idx="5">
                  <c:v>8711687679.0329781</c:v>
                </c:pt>
                <c:pt idx="6">
                  <c:v>8167207199.0934525</c:v>
                </c:pt>
                <c:pt idx="7">
                  <c:v>8246117413.5774031</c:v>
                </c:pt>
                <c:pt idx="8">
                  <c:v>7977822684.3318539</c:v>
                </c:pt>
                <c:pt idx="9">
                  <c:v>6257580008.580905</c:v>
                </c:pt>
                <c:pt idx="10">
                  <c:v>6115541622.5095596</c:v>
                </c:pt>
                <c:pt idx="11">
                  <c:v>5350112542.0147381</c:v>
                </c:pt>
                <c:pt idx="12">
                  <c:v>5421131735.0505581</c:v>
                </c:pt>
                <c:pt idx="13">
                  <c:v>6020849365.1287584</c:v>
                </c:pt>
                <c:pt idx="14">
                  <c:v>6951989896.0399065</c:v>
                </c:pt>
                <c:pt idx="15">
                  <c:v>7701636933.6378794</c:v>
                </c:pt>
                <c:pt idx="16">
                  <c:v>7559598547.5668259</c:v>
                </c:pt>
                <c:pt idx="17">
                  <c:v>7441233225.8407526</c:v>
                </c:pt>
                <c:pt idx="18">
                  <c:v>8214553327.7837057</c:v>
                </c:pt>
                <c:pt idx="19">
                  <c:v>7914694512.744751</c:v>
                </c:pt>
                <c:pt idx="20">
                  <c:v>7804220212.4671021</c:v>
                </c:pt>
                <c:pt idx="21">
                  <c:v>6936207853.1430578</c:v>
                </c:pt>
                <c:pt idx="22">
                  <c:v>6170778772.6482372</c:v>
                </c:pt>
                <c:pt idx="23">
                  <c:v>5965612214.9900808</c:v>
                </c:pt>
                <c:pt idx="24">
                  <c:v>6667913123.8975077</c:v>
                </c:pt>
                <c:pt idx="25">
                  <c:v>5673644421.3992586</c:v>
                </c:pt>
                <c:pt idx="26">
                  <c:v>4868760233.6626081</c:v>
                </c:pt>
                <c:pt idx="27">
                  <c:v>5326439477.6697569</c:v>
                </c:pt>
                <c:pt idx="28">
                  <c:v>5500041949.5345087</c:v>
                </c:pt>
                <c:pt idx="29">
                  <c:v>4134895238.9611917</c:v>
                </c:pt>
                <c:pt idx="30">
                  <c:v>5365894584.9115868</c:v>
                </c:pt>
                <c:pt idx="31">
                  <c:v>5626298292.7087126</c:v>
                </c:pt>
                <c:pt idx="32">
                  <c:v>5878810979.0577059</c:v>
                </c:pt>
                <c:pt idx="33">
                  <c:v>6115541622.5095596</c:v>
                </c:pt>
                <c:pt idx="34">
                  <c:v>6464150713.6218357</c:v>
                </c:pt>
                <c:pt idx="35">
                  <c:v>5884732179.5425425</c:v>
                </c:pt>
                <c:pt idx="36">
                  <c:v>5878814884.6631126</c:v>
                </c:pt>
                <c:pt idx="37">
                  <c:v>6539010423.4981899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52-B840-820F-14E5D0708EB1}"/>
            </c:ext>
          </c:extLst>
        </c:ser>
        <c:ser>
          <c:idx val="2"/>
          <c:order val="2"/>
          <c:tx>
            <c:v>Gaz naturel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Norvège!$C$18:$AN$18</c:f>
              <c:numCache>
                <c:formatCode>General</c:formatCode>
                <c:ptCount val="38"/>
                <c:pt idx="0">
                  <c:v>11231946075</c:v>
                </c:pt>
                <c:pt idx="1">
                  <c:v>10960855400</c:v>
                </c:pt>
                <c:pt idx="2">
                  <c:v>12367010058</c:v>
                </c:pt>
                <c:pt idx="3">
                  <c:v>14586729812</c:v>
                </c:pt>
                <c:pt idx="4">
                  <c:v>12941136147</c:v>
                </c:pt>
                <c:pt idx="5">
                  <c:v>15082899015</c:v>
                </c:pt>
                <c:pt idx="6">
                  <c:v>27485956806</c:v>
                </c:pt>
                <c:pt idx="7">
                  <c:v>19061337840</c:v>
                </c:pt>
                <c:pt idx="8">
                  <c:v>22258742450</c:v>
                </c:pt>
                <c:pt idx="9">
                  <c:v>23212688555</c:v>
                </c:pt>
                <c:pt idx="10">
                  <c:v>25579236880</c:v>
                </c:pt>
                <c:pt idx="11">
                  <c:v>24871177344</c:v>
                </c:pt>
                <c:pt idx="12">
                  <c:v>41833011076.326614</c:v>
                </c:pt>
                <c:pt idx="13">
                  <c:v>29003756861.449997</c:v>
                </c:pt>
                <c:pt idx="14">
                  <c:v>30296343576.240002</c:v>
                </c:pt>
                <c:pt idx="15">
                  <c:v>33326480843.700001</c:v>
                </c:pt>
                <c:pt idx="16">
                  <c:v>33195956105.500999</c:v>
                </c:pt>
                <c:pt idx="17">
                  <c:v>41552179538.954697</c:v>
                </c:pt>
                <c:pt idx="18">
                  <c:v>40426328037.689995</c:v>
                </c:pt>
                <c:pt idx="19">
                  <c:v>49161354237.702698</c:v>
                </c:pt>
                <c:pt idx="20">
                  <c:v>44540167481.730202</c:v>
                </c:pt>
                <c:pt idx="21">
                  <c:v>51434170837.056702</c:v>
                </c:pt>
                <c:pt idx="22">
                  <c:v>60136491661.596001</c:v>
                </c:pt>
                <c:pt idx="23">
                  <c:v>70112976655.290451</c:v>
                </c:pt>
                <c:pt idx="24">
                  <c:v>89062429805.368942</c:v>
                </c:pt>
                <c:pt idx="25">
                  <c:v>58913145022.053001</c:v>
                </c:pt>
                <c:pt idx="26">
                  <c:v>37431095233.258995</c:v>
                </c:pt>
                <c:pt idx="27">
                  <c:v>48719624672.764496</c:v>
                </c:pt>
                <c:pt idx="28">
                  <c:v>38394454837.393204</c:v>
                </c:pt>
                <c:pt idx="29">
                  <c:v>71977183057.274246</c:v>
                </c:pt>
                <c:pt idx="30">
                  <c:v>60707213030.655426</c:v>
                </c:pt>
                <c:pt idx="31">
                  <c:v>50157889201.023888</c:v>
                </c:pt>
                <c:pt idx="32">
                  <c:v>47496890072.979668</c:v>
                </c:pt>
                <c:pt idx="33">
                  <c:v>56334337610.321762</c:v>
                </c:pt>
                <c:pt idx="34">
                  <c:v>63994981893.404861</c:v>
                </c:pt>
                <c:pt idx="35">
                  <c:v>57019128236.661461</c:v>
                </c:pt>
                <c:pt idx="36">
                  <c:v>54500713947.595001</c:v>
                </c:pt>
                <c:pt idx="37">
                  <c:v>44274425622.29895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52-B840-820F-14E5D0708EB1}"/>
            </c:ext>
          </c:extLst>
        </c:ser>
        <c:ser>
          <c:idx val="3"/>
          <c:order val="3"/>
          <c:tx>
            <c:v>Nucléaire et renouvelables 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Norvège!$C$28:$AN$28</c:f>
              <c:numCache>
                <c:formatCode>General</c:formatCode>
                <c:ptCount val="38"/>
                <c:pt idx="0">
                  <c:v>255491856059.577</c:v>
                </c:pt>
                <c:pt idx="1">
                  <c:v>279738089002.58252</c:v>
                </c:pt>
                <c:pt idx="2">
                  <c:v>277648185766.85956</c:v>
                </c:pt>
                <c:pt idx="3">
                  <c:v>312259426262.81311</c:v>
                </c:pt>
                <c:pt idx="4">
                  <c:v>317056380338.01892</c:v>
                </c:pt>
                <c:pt idx="5">
                  <c:v>314900371441.04718</c:v>
                </c:pt>
                <c:pt idx="6">
                  <c:v>297906985432.02826</c:v>
                </c:pt>
                <c:pt idx="7">
                  <c:v>315325670133.26556</c:v>
                </c:pt>
                <c:pt idx="8">
                  <c:v>324972642415.12714</c:v>
                </c:pt>
                <c:pt idx="9">
                  <c:v>349656721393.53076</c:v>
                </c:pt>
                <c:pt idx="10">
                  <c:v>354861987169.16083</c:v>
                </c:pt>
                <c:pt idx="11">
                  <c:v>335561838094.72058</c:v>
                </c:pt>
                <c:pt idx="12">
                  <c:v>346118807315.3056</c:v>
                </c:pt>
                <c:pt idx="13">
                  <c:v>353229057157.81299</c:v>
                </c:pt>
                <c:pt idx="14">
                  <c:v>339018447522.14203</c:v>
                </c:pt>
                <c:pt idx="15">
                  <c:v>362166160363.04431</c:v>
                </c:pt>
                <c:pt idx="16">
                  <c:v>326618870805.2395</c:v>
                </c:pt>
                <c:pt idx="17">
                  <c:v>334254810905.64783</c:v>
                </c:pt>
                <c:pt idx="18">
                  <c:v>351549872071.0083</c:v>
                </c:pt>
                <c:pt idx="19">
                  <c:v>364170669083.64398</c:v>
                </c:pt>
                <c:pt idx="20">
                  <c:v>406182232206.84595</c:v>
                </c:pt>
                <c:pt idx="21">
                  <c:v>369535673415.72864</c:v>
                </c:pt>
                <c:pt idx="22">
                  <c:v>376427823343.18915</c:v>
                </c:pt>
                <c:pt idx="23">
                  <c:v>323042718966.60211</c:v>
                </c:pt>
                <c:pt idx="24">
                  <c:v>333240343088.63885</c:v>
                </c:pt>
                <c:pt idx="25">
                  <c:v>387499329719.49475</c:v>
                </c:pt>
                <c:pt idx="26">
                  <c:v>350773765416.78442</c:v>
                </c:pt>
                <c:pt idx="27">
                  <c:v>381071836456.16119</c:v>
                </c:pt>
                <c:pt idx="28">
                  <c:v>391363492708.41815</c:v>
                </c:pt>
                <c:pt idx="29">
                  <c:v>351666976884.6087</c:v>
                </c:pt>
                <c:pt idx="30">
                  <c:v>347659859594.5885</c:v>
                </c:pt>
                <c:pt idx="31">
                  <c:v>346683133418.31763</c:v>
                </c:pt>
                <c:pt idx="32">
                  <c:v>385407481423.5824</c:v>
                </c:pt>
                <c:pt idx="33">
                  <c:v>361971557201.45117</c:v>
                </c:pt>
                <c:pt idx="34">
                  <c:v>371580126265.50592</c:v>
                </c:pt>
                <c:pt idx="35">
                  <c:v>370257897767.97144</c:v>
                </c:pt>
                <c:pt idx="36">
                  <c:v>379523888011.01062</c:v>
                </c:pt>
                <c:pt idx="37">
                  <c:v>378395360654.81512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52-B840-820F-14E5D0708EB1}"/>
            </c:ext>
          </c:extLst>
        </c:ser>
        <c:ser>
          <c:idx val="4"/>
          <c:order val="4"/>
          <c:tx>
            <c:v>Hydrocarbures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USA!$C$5:$AN$5</c:f>
              <c:numCache>
                <c:formatCode>General</c:formatCode>
                <c:ptCount val="38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</c:numCache>
            </c:numRef>
          </c:xVal>
          <c:yVal>
            <c:numRef>
              <c:f>Norvège!$C$23:$AN$23</c:f>
              <c:numCache>
                <c:formatCode>General</c:formatCode>
                <c:ptCount val="38"/>
                <c:pt idx="0">
                  <c:v>124174153392.90001</c:v>
                </c:pt>
                <c:pt idx="1">
                  <c:v>113777153408.705</c:v>
                </c:pt>
                <c:pt idx="2">
                  <c:v>102906234171.83</c:v>
                </c:pt>
                <c:pt idx="3">
                  <c:v>101094467784.47501</c:v>
                </c:pt>
                <c:pt idx="4">
                  <c:v>110531145610.99399</c:v>
                </c:pt>
                <c:pt idx="5">
                  <c:v>115084678831.578</c:v>
                </c:pt>
                <c:pt idx="6">
                  <c:v>119043221359.459</c:v>
                </c:pt>
                <c:pt idx="7">
                  <c:v>118525623684.15201</c:v>
                </c:pt>
                <c:pt idx="8">
                  <c:v>114367987768.48599</c:v>
                </c:pt>
                <c:pt idx="9">
                  <c:v>111041366396.16</c:v>
                </c:pt>
                <c:pt idx="10">
                  <c:v>117201305292.979</c:v>
                </c:pt>
                <c:pt idx="11">
                  <c:v>111136755438.311</c:v>
                </c:pt>
                <c:pt idx="12">
                  <c:v>111387382723.80701</c:v>
                </c:pt>
                <c:pt idx="13">
                  <c:v>114156574555.07399</c:v>
                </c:pt>
                <c:pt idx="14">
                  <c:v>117405353046.019</c:v>
                </c:pt>
                <c:pt idx="15">
                  <c:v>122088062292.06001</c:v>
                </c:pt>
                <c:pt idx="16">
                  <c:v>129261587535.45001</c:v>
                </c:pt>
                <c:pt idx="17">
                  <c:v>129598748429.76102</c:v>
                </c:pt>
                <c:pt idx="18">
                  <c:v>130584844716.53198</c:v>
                </c:pt>
                <c:pt idx="19">
                  <c:v>130957867829.89999</c:v>
                </c:pt>
                <c:pt idx="20">
                  <c:v>123208027257.14001</c:v>
                </c:pt>
                <c:pt idx="21">
                  <c:v>128626683210.186</c:v>
                </c:pt>
                <c:pt idx="22">
                  <c:v>127141959147.79601</c:v>
                </c:pt>
                <c:pt idx="23">
                  <c:v>134246813459.82101</c:v>
                </c:pt>
                <c:pt idx="24">
                  <c:v>127367765371.08899</c:v>
                </c:pt>
                <c:pt idx="25">
                  <c:v>131000186110.01601</c:v>
                </c:pt>
                <c:pt idx="26">
                  <c:v>136399542165.42799</c:v>
                </c:pt>
                <c:pt idx="27">
                  <c:v>143378733787.14401</c:v>
                </c:pt>
                <c:pt idx="28">
                  <c:v>133581869943.19899</c:v>
                </c:pt>
                <c:pt idx="29">
                  <c:v>133627700093.10802</c:v>
                </c:pt>
                <c:pt idx="30">
                  <c:v>126155671192.591</c:v>
                </c:pt>
                <c:pt idx="31">
                  <c:v>125041190465.134</c:v>
                </c:pt>
                <c:pt idx="32">
                  <c:v>123584146665.623</c:v>
                </c:pt>
                <c:pt idx="33">
                  <c:v>122950114812.72598</c:v>
                </c:pt>
                <c:pt idx="34">
                  <c:v>118330795651.701</c:v>
                </c:pt>
                <c:pt idx="35">
                  <c:v>126855833930.49599</c:v>
                </c:pt>
                <c:pt idx="36">
                  <c:v>129034384828.84201</c:v>
                </c:pt>
                <c:pt idx="37">
                  <c:v>128028945563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552-B840-820F-14E5D0708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085775"/>
        <c:axId val="1278772479"/>
      </c:scatterChart>
      <c:valAx>
        <c:axId val="1279085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Années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8772479"/>
        <c:crosses val="autoZero"/>
        <c:crossBetween val="midCat"/>
      </c:valAx>
      <c:valAx>
        <c:axId val="127877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Rejet de CO2 en 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9085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955162</xdr:colOff>
      <xdr:row>38</xdr:row>
      <xdr:rowOff>37280</xdr:rowOff>
    </xdr:from>
    <xdr:to>
      <xdr:col>12</xdr:col>
      <xdr:colOff>850490</xdr:colOff>
      <xdr:row>65</xdr:row>
      <xdr:rowOff>178619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0174C63-F2D6-A54A-AB43-946B4EB86F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889001</xdr:colOff>
      <xdr:row>38</xdr:row>
      <xdr:rowOff>16932</xdr:rowOff>
    </xdr:from>
    <xdr:to>
      <xdr:col>20</xdr:col>
      <xdr:colOff>626534</xdr:colOff>
      <xdr:row>65</xdr:row>
      <xdr:rowOff>203199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7FF372BB-70BB-7347-86FB-878F0EF6D1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745067</xdr:colOff>
      <xdr:row>38</xdr:row>
      <xdr:rowOff>16933</xdr:rowOff>
    </xdr:from>
    <xdr:to>
      <xdr:col>31</xdr:col>
      <xdr:colOff>166261</xdr:colOff>
      <xdr:row>65</xdr:row>
      <xdr:rowOff>158272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6646E5C-47D5-AF48-A2A1-9B5C07227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736600</xdr:colOff>
      <xdr:row>13</xdr:row>
      <xdr:rowOff>101600</xdr:rowOff>
    </xdr:from>
    <xdr:to>
      <xdr:col>70</xdr:col>
      <xdr:colOff>482600</xdr:colOff>
      <xdr:row>37</xdr:row>
      <xdr:rowOff>139700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49EE7CE0-7EE4-44A0-AF6C-AFA00F9B9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955162</xdr:colOff>
      <xdr:row>35</xdr:row>
      <xdr:rowOff>37280</xdr:rowOff>
    </xdr:from>
    <xdr:to>
      <xdr:col>12</xdr:col>
      <xdr:colOff>850490</xdr:colOff>
      <xdr:row>62</xdr:row>
      <xdr:rowOff>178619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9314A15-1B3B-0645-BC36-728D523EC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889001</xdr:colOff>
      <xdr:row>35</xdr:row>
      <xdr:rowOff>16932</xdr:rowOff>
    </xdr:from>
    <xdr:to>
      <xdr:col>20</xdr:col>
      <xdr:colOff>626534</xdr:colOff>
      <xdr:row>63</xdr:row>
      <xdr:rowOff>-1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BD3BCB4-6635-A54C-8532-A3F0854D4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711200</xdr:colOff>
      <xdr:row>35</xdr:row>
      <xdr:rowOff>25400</xdr:rowOff>
    </xdr:from>
    <xdr:to>
      <xdr:col>31</xdr:col>
      <xdr:colOff>90061</xdr:colOff>
      <xdr:row>62</xdr:row>
      <xdr:rowOff>166739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4501AD8-A2B9-8245-958B-BC812466C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412750</xdr:colOff>
      <xdr:row>14</xdr:row>
      <xdr:rowOff>114300</xdr:rowOff>
    </xdr:from>
    <xdr:to>
      <xdr:col>69</xdr:col>
      <xdr:colOff>190500</xdr:colOff>
      <xdr:row>34</xdr:row>
      <xdr:rowOff>127000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4EA94A89-B617-456E-B851-0CE9B7CEED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955162</xdr:colOff>
      <xdr:row>35</xdr:row>
      <xdr:rowOff>37280</xdr:rowOff>
    </xdr:from>
    <xdr:to>
      <xdr:col>12</xdr:col>
      <xdr:colOff>850490</xdr:colOff>
      <xdr:row>62</xdr:row>
      <xdr:rowOff>178619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408F634-CA78-E647-BC41-55F0CAB99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889001</xdr:colOff>
      <xdr:row>35</xdr:row>
      <xdr:rowOff>16932</xdr:rowOff>
    </xdr:from>
    <xdr:to>
      <xdr:col>20</xdr:col>
      <xdr:colOff>626534</xdr:colOff>
      <xdr:row>62</xdr:row>
      <xdr:rowOff>203199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62D5175-5CC5-3649-8EEE-570B163C89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677333</xdr:colOff>
      <xdr:row>35</xdr:row>
      <xdr:rowOff>16933</xdr:rowOff>
    </xdr:from>
    <xdr:to>
      <xdr:col>31</xdr:col>
      <xdr:colOff>98527</xdr:colOff>
      <xdr:row>62</xdr:row>
      <xdr:rowOff>158272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C864E7B-DFBE-ED44-9783-F722FCFE37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H49"/>
  <sheetViews>
    <sheetView topLeftCell="AS1" zoomScale="60" zoomScaleNormal="60" workbookViewId="0">
      <selection activeCell="BL46" sqref="BL46"/>
    </sheetView>
  </sheetViews>
  <sheetFormatPr baseColWidth="10" defaultRowHeight="15.6" x14ac:dyDescent="0.3"/>
  <cols>
    <col min="1" max="1" width="27.296875" bestFit="1" customWidth="1"/>
    <col min="2" max="2" width="15.69921875" bestFit="1" customWidth="1"/>
    <col min="3" max="4" width="12.5" bestFit="1" customWidth="1"/>
    <col min="5" max="10" width="12.69921875" bestFit="1" customWidth="1"/>
    <col min="11" max="11" width="12.19921875" bestFit="1" customWidth="1"/>
    <col min="12" max="14" width="12.69921875" bestFit="1" customWidth="1"/>
    <col min="15" max="25" width="13.5" bestFit="1" customWidth="1"/>
    <col min="26" max="40" width="13.296875" bestFit="1" customWidth="1"/>
    <col min="42" max="42" width="16.8984375" customWidth="1"/>
    <col min="44" max="48" width="19.69921875" customWidth="1"/>
    <col min="49" max="49" width="21" customWidth="1"/>
    <col min="51" max="51" width="18.5" customWidth="1"/>
    <col min="52" max="52" width="22" customWidth="1"/>
    <col min="54" max="54" width="17.5" customWidth="1"/>
    <col min="55" max="55" width="23.3984375" customWidth="1"/>
    <col min="57" max="57" width="18.09765625" customWidth="1"/>
    <col min="58" max="58" width="26.3984375" customWidth="1"/>
    <col min="60" max="60" width="17.19921875" customWidth="1"/>
    <col min="63" max="63" width="26.5" customWidth="1"/>
  </cols>
  <sheetData>
    <row r="1" spans="1:60" x14ac:dyDescent="0.3">
      <c r="AR1" t="s">
        <v>17</v>
      </c>
      <c r="AT1" t="s">
        <v>21</v>
      </c>
      <c r="AV1" t="s">
        <v>24</v>
      </c>
      <c r="AW1" t="s">
        <v>22</v>
      </c>
      <c r="AY1" t="s">
        <v>24</v>
      </c>
      <c r="AZ1" t="s">
        <v>23</v>
      </c>
      <c r="BB1" t="s">
        <v>24</v>
      </c>
      <c r="BC1" t="s">
        <v>25</v>
      </c>
      <c r="BE1" t="s">
        <v>24</v>
      </c>
      <c r="BF1" t="s">
        <v>26</v>
      </c>
      <c r="BH1" t="s">
        <v>20</v>
      </c>
    </row>
    <row r="3" spans="1:60" x14ac:dyDescent="0.3">
      <c r="AQ3">
        <v>2004</v>
      </c>
      <c r="AR3">
        <v>293622764</v>
      </c>
    </row>
    <row r="4" spans="1:60" x14ac:dyDescent="0.3">
      <c r="AQ4">
        <v>2005</v>
      </c>
      <c r="AR4">
        <v>296269527.90580499</v>
      </c>
    </row>
    <row r="5" spans="1:60" x14ac:dyDescent="0.3">
      <c r="C5">
        <v>1980</v>
      </c>
      <c r="D5">
        <v>1981</v>
      </c>
      <c r="E5">
        <v>1982</v>
      </c>
      <c r="F5">
        <v>1983</v>
      </c>
      <c r="G5">
        <v>1984</v>
      </c>
      <c r="H5">
        <v>1985</v>
      </c>
      <c r="I5">
        <v>1986</v>
      </c>
      <c r="J5">
        <v>1987</v>
      </c>
      <c r="K5">
        <v>1988</v>
      </c>
      <c r="L5">
        <v>1989</v>
      </c>
      <c r="M5">
        <v>1990</v>
      </c>
      <c r="N5">
        <v>1991</v>
      </c>
      <c r="O5">
        <v>1992</v>
      </c>
      <c r="P5">
        <v>1993</v>
      </c>
      <c r="Q5">
        <v>1994</v>
      </c>
      <c r="R5">
        <v>1995</v>
      </c>
      <c r="S5">
        <v>1996</v>
      </c>
      <c r="T5">
        <v>1997</v>
      </c>
      <c r="U5">
        <v>1998</v>
      </c>
      <c r="V5">
        <v>1999</v>
      </c>
      <c r="W5">
        <v>2000</v>
      </c>
      <c r="X5">
        <v>2001</v>
      </c>
      <c r="Y5">
        <v>2002</v>
      </c>
      <c r="Z5">
        <v>2003</v>
      </c>
      <c r="AA5">
        <v>2004</v>
      </c>
      <c r="AB5">
        <v>2005</v>
      </c>
      <c r="AC5">
        <v>2006</v>
      </c>
      <c r="AD5">
        <v>2007</v>
      </c>
      <c r="AE5">
        <v>2008</v>
      </c>
      <c r="AF5">
        <v>2009</v>
      </c>
      <c r="AG5">
        <v>2010</v>
      </c>
      <c r="AH5">
        <v>2011</v>
      </c>
      <c r="AI5">
        <v>2012</v>
      </c>
      <c r="AJ5">
        <v>2013</v>
      </c>
      <c r="AK5">
        <v>2014</v>
      </c>
      <c r="AL5">
        <v>2015</v>
      </c>
      <c r="AM5">
        <v>2016</v>
      </c>
      <c r="AN5">
        <v>2017</v>
      </c>
      <c r="AQ5">
        <v>2006</v>
      </c>
      <c r="AR5">
        <v>298905447.55973703</v>
      </c>
    </row>
    <row r="6" spans="1:60" x14ac:dyDescent="0.3">
      <c r="AQ6">
        <v>2007</v>
      </c>
      <c r="AR6">
        <v>301509669.658889</v>
      </c>
    </row>
    <row r="7" spans="1:60" x14ac:dyDescent="0.3">
      <c r="A7" t="s">
        <v>17</v>
      </c>
      <c r="AQ7">
        <v>2008</v>
      </c>
      <c r="AR7">
        <v>304070901.48794502</v>
      </c>
    </row>
    <row r="8" spans="1:60" x14ac:dyDescent="0.3">
      <c r="AQ8">
        <v>2009</v>
      </c>
      <c r="AR8">
        <v>306560820.90246397</v>
      </c>
    </row>
    <row r="9" spans="1:60" x14ac:dyDescent="0.3">
      <c r="A9" t="s">
        <v>0</v>
      </c>
      <c r="B9" t="s">
        <v>1</v>
      </c>
      <c r="AQ9">
        <v>2010</v>
      </c>
      <c r="AR9">
        <v>308958059.76264399</v>
      </c>
    </row>
    <row r="10" spans="1:60" x14ac:dyDescent="0.3">
      <c r="A10" t="s">
        <v>2</v>
      </c>
      <c r="AQ10">
        <v>2011</v>
      </c>
      <c r="AR10">
        <v>311235129.05148202</v>
      </c>
    </row>
    <row r="11" spans="1:60" x14ac:dyDescent="0.3">
      <c r="A11" t="s">
        <v>3</v>
      </c>
      <c r="B11" t="s">
        <v>1</v>
      </c>
      <c r="C11">
        <v>78.021113111999995</v>
      </c>
      <c r="D11">
        <v>76.057186938000001</v>
      </c>
      <c r="E11">
        <v>73.046188655999998</v>
      </c>
      <c r="F11">
        <v>72.915394278999997</v>
      </c>
      <c r="G11">
        <v>76.570696799999993</v>
      </c>
      <c r="H11">
        <v>76.334134501999998</v>
      </c>
      <c r="I11">
        <v>76.598888067999994</v>
      </c>
      <c r="J11">
        <v>79.008202666000003</v>
      </c>
      <c r="K11">
        <v>82.659169043000006</v>
      </c>
      <c r="L11">
        <v>84.739992958000002</v>
      </c>
      <c r="M11">
        <v>84.432860297999994</v>
      </c>
      <c r="N11">
        <v>84.380300081000001</v>
      </c>
      <c r="O11">
        <v>85.724885061999998</v>
      </c>
      <c r="P11">
        <v>87.265887617999994</v>
      </c>
      <c r="Q11">
        <v>88.983234060000001</v>
      </c>
      <c r="R11">
        <v>90.930704011000003</v>
      </c>
      <c r="S11">
        <v>93.934510891000002</v>
      </c>
      <c r="T11">
        <v>94.506999339999993</v>
      </c>
      <c r="U11">
        <v>94.920189836999995</v>
      </c>
      <c r="V11">
        <v>96.544524441999997</v>
      </c>
      <c r="W11">
        <v>98.702224162999997</v>
      </c>
      <c r="X11">
        <v>96.063733748999994</v>
      </c>
      <c r="Y11">
        <v>97.535390886000002</v>
      </c>
      <c r="Z11">
        <v>97.834773192</v>
      </c>
      <c r="AA11">
        <v>100.002368086</v>
      </c>
      <c r="AB11">
        <v>100.101576158</v>
      </c>
      <c r="AC11">
        <v>99.391540563999996</v>
      </c>
      <c r="AD11">
        <v>100.89336315200001</v>
      </c>
      <c r="AE11">
        <v>98.753711163999995</v>
      </c>
      <c r="AF11">
        <v>93.942215619999999</v>
      </c>
      <c r="AG11">
        <v>97.516858928000005</v>
      </c>
      <c r="AH11">
        <v>96.850230386000007</v>
      </c>
      <c r="AI11">
        <v>94.380123213000005</v>
      </c>
      <c r="AJ11">
        <v>97.117291907999999</v>
      </c>
      <c r="AK11">
        <v>98.275542383000001</v>
      </c>
      <c r="AL11">
        <v>97.377606185999994</v>
      </c>
      <c r="AM11">
        <v>97.333944686999999</v>
      </c>
      <c r="AN11">
        <v>97.707646159000006</v>
      </c>
      <c r="AQ11">
        <v>2012</v>
      </c>
      <c r="AR11">
        <v>313397770.26065999</v>
      </c>
    </row>
    <row r="12" spans="1:60" x14ac:dyDescent="0.3">
      <c r="B12" t="s">
        <v>4</v>
      </c>
      <c r="C12">
        <f>C11*0.000293071*10^15</f>
        <v>22865725640846.953</v>
      </c>
      <c r="D12">
        <f t="shared" ref="D12:AN12" si="0">D11*0.000293071*10^15</f>
        <v>22290155833106.598</v>
      </c>
      <c r="E12">
        <f t="shared" si="0"/>
        <v>21407719555602.578</v>
      </c>
      <c r="F12">
        <f t="shared" si="0"/>
        <v>21369387516740.805</v>
      </c>
      <c r="G12">
        <f t="shared" si="0"/>
        <v>22440650681872.797</v>
      </c>
      <c r="H12">
        <f t="shared" si="0"/>
        <v>22371321132635.641</v>
      </c>
      <c r="I12">
        <f t="shared" si="0"/>
        <v>22448912724976.828</v>
      </c>
      <c r="J12">
        <f t="shared" si="0"/>
        <v>23155012963527.289</v>
      </c>
      <c r="K12">
        <f t="shared" si="0"/>
        <v>24225005330601.055</v>
      </c>
      <c r="L12">
        <f t="shared" si="0"/>
        <v>24834834476194.02</v>
      </c>
      <c r="M12">
        <f t="shared" si="0"/>
        <v>24744822800395.156</v>
      </c>
      <c r="N12">
        <f t="shared" si="0"/>
        <v>24729418925038.75</v>
      </c>
      <c r="O12">
        <f t="shared" si="0"/>
        <v>25123477790005.402</v>
      </c>
      <c r="P12">
        <f t="shared" si="0"/>
        <v>25575100950094.879</v>
      </c>
      <c r="Q12">
        <f t="shared" si="0"/>
        <v>26078405389198.258</v>
      </c>
      <c r="R12">
        <f t="shared" si="0"/>
        <v>26649152355207.781</v>
      </c>
      <c r="S12">
        <f t="shared" si="0"/>
        <v>27529481041336.262</v>
      </c>
      <c r="T12">
        <f t="shared" si="0"/>
        <v>27697260803573.137</v>
      </c>
      <c r="U12">
        <f t="shared" si="0"/>
        <v>27818354955719.426</v>
      </c>
      <c r="V12">
        <f t="shared" si="0"/>
        <v>28294400322741.379</v>
      </c>
      <c r="W12">
        <f t="shared" si="0"/>
        <v>28926759537674.57</v>
      </c>
      <c r="X12">
        <f t="shared" si="0"/>
        <v>28153494513553.176</v>
      </c>
      <c r="Y12">
        <f t="shared" si="0"/>
        <v>28584794542350.906</v>
      </c>
      <c r="Z12">
        <f t="shared" si="0"/>
        <v>28672534814152.633</v>
      </c>
      <c r="AA12">
        <f t="shared" si="0"/>
        <v>29307794017332.105</v>
      </c>
      <c r="AB12">
        <f t="shared" si="0"/>
        <v>29336869026201.219</v>
      </c>
      <c r="AC12">
        <f t="shared" si="0"/>
        <v>29128778184632.043</v>
      </c>
      <c r="AD12">
        <f t="shared" si="0"/>
        <v>29568918832319.793</v>
      </c>
      <c r="AE12">
        <f t="shared" si="0"/>
        <v>28941848884544.641</v>
      </c>
      <c r="AF12">
        <f t="shared" si="0"/>
        <v>27531739073969.02</v>
      </c>
      <c r="AG12">
        <f t="shared" si="0"/>
        <v>28579363362887.891</v>
      </c>
      <c r="AH12">
        <f t="shared" si="0"/>
        <v>28383993869455.406</v>
      </c>
      <c r="AI12">
        <f t="shared" si="0"/>
        <v>27660077090157.121</v>
      </c>
      <c r="AJ12">
        <f t="shared" si="0"/>
        <v>28462261856769.469</v>
      </c>
      <c r="AK12">
        <f t="shared" si="0"/>
        <v>28801711481728.191</v>
      </c>
      <c r="AL12">
        <f t="shared" si="0"/>
        <v>28538552422537.203</v>
      </c>
      <c r="AM12">
        <f t="shared" si="0"/>
        <v>28525756503363.777</v>
      </c>
      <c r="AN12">
        <f t="shared" si="0"/>
        <v>28635277567464.293</v>
      </c>
      <c r="AQ12">
        <v>2013</v>
      </c>
      <c r="AR12">
        <v>315452500.98913801</v>
      </c>
    </row>
    <row r="13" spans="1:60" x14ac:dyDescent="0.3">
      <c r="B13" t="s">
        <v>5</v>
      </c>
      <c r="C13">
        <f>C17+C22+C27+C32</f>
        <v>1.5364503707979732E+16</v>
      </c>
      <c r="D13">
        <f t="shared" ref="D13:AN13" si="1">D17+D22+D27+D32</f>
        <v>1.486711490403082E+16</v>
      </c>
      <c r="E13">
        <f t="shared" si="1"/>
        <v>1.4117348989469492E+16</v>
      </c>
      <c r="F13">
        <f t="shared" si="1"/>
        <v>1.4108231637927244E+16</v>
      </c>
      <c r="G13">
        <f t="shared" si="1"/>
        <v>1.4827321968995204E+16</v>
      </c>
      <c r="H13">
        <f t="shared" si="1"/>
        <v>1.4833182258013702E+16</v>
      </c>
      <c r="I13">
        <f t="shared" si="1"/>
        <v>1.4976496938156196E+16</v>
      </c>
      <c r="J13">
        <f t="shared" si="1"/>
        <v>1.5476690084623002E+16</v>
      </c>
      <c r="K13">
        <f t="shared" si="1"/>
        <v>1.615200810844025E+16</v>
      </c>
      <c r="L13">
        <f t="shared" si="1"/>
        <v>1.6348206387725414E+16</v>
      </c>
      <c r="M13">
        <f t="shared" si="1"/>
        <v>1.6207200090083104E+16</v>
      </c>
      <c r="N13">
        <f t="shared" si="1"/>
        <v>1.6029599750443664E+16</v>
      </c>
      <c r="O13">
        <f t="shared" si="1"/>
        <v>1.6318486446661304E+16</v>
      </c>
      <c r="P13">
        <f t="shared" si="1"/>
        <v>1.6611031093422466E+16</v>
      </c>
      <c r="Q13">
        <f t="shared" si="1"/>
        <v>1.6914072804841262E+16</v>
      </c>
      <c r="R13">
        <f t="shared" si="1"/>
        <v>1.705061450018672E+16</v>
      </c>
      <c r="S13">
        <f t="shared" si="1"/>
        <v>1.7664534506115688E+16</v>
      </c>
      <c r="T13">
        <f t="shared" si="1"/>
        <v>1.7927944651893044E+16</v>
      </c>
      <c r="U13">
        <f t="shared" si="1"/>
        <v>1.8111008698708404E+16</v>
      </c>
      <c r="V13">
        <f t="shared" si="1"/>
        <v>1.8373396137174732E+16</v>
      </c>
      <c r="W13">
        <f t="shared" si="1"/>
        <v>1.8855007969814004E+16</v>
      </c>
      <c r="X13">
        <f t="shared" si="1"/>
        <v>1.8529466527515792E+16</v>
      </c>
      <c r="Y13">
        <f t="shared" si="1"/>
        <v>1.8630893405575216E+16</v>
      </c>
      <c r="Z13">
        <f t="shared" si="1"/>
        <v>1.8835306399867072E+16</v>
      </c>
      <c r="AA13">
        <f t="shared" si="1"/>
        <v>1.9270189511774228E+16</v>
      </c>
      <c r="AB13">
        <f t="shared" si="1"/>
        <v>1.9354021378172328E+16</v>
      </c>
      <c r="AC13">
        <f t="shared" si="1"/>
        <v>1.9133611733284E+16</v>
      </c>
      <c r="AD13">
        <f t="shared" si="1"/>
        <v>1.9321462200220656E+16</v>
      </c>
      <c r="AE13">
        <f t="shared" si="1"/>
        <v>1.864008573685636E+16</v>
      </c>
      <c r="AF13">
        <f t="shared" si="1"/>
        <v>1.7364104619622218E+16</v>
      </c>
      <c r="AG13">
        <f t="shared" si="1"/>
        <v>1.799433911750858E+16</v>
      </c>
      <c r="AH13">
        <f t="shared" si="1"/>
        <v>1.7557896828120482E+16</v>
      </c>
      <c r="AI13">
        <f t="shared" si="1"/>
        <v>1.6848947460721472E+16</v>
      </c>
      <c r="AJ13">
        <f t="shared" si="1"/>
        <v>1.7285898443065792E+16</v>
      </c>
      <c r="AK13">
        <f t="shared" si="1"/>
        <v>1.7413005223723314E+16</v>
      </c>
      <c r="AL13">
        <f t="shared" si="1"/>
        <v>1.7018680527530898E+16</v>
      </c>
      <c r="AM13">
        <f t="shared" si="1"/>
        <v>1.6791324059185906E+16</v>
      </c>
      <c r="AN13">
        <f t="shared" si="1"/>
        <v>1.6735736450308918E+16</v>
      </c>
      <c r="AQ13">
        <v>2014</v>
      </c>
      <c r="AR13">
        <v>317429041.99813002</v>
      </c>
    </row>
    <row r="14" spans="1:60" x14ac:dyDescent="0.3">
      <c r="AQ14">
        <v>2015</v>
      </c>
      <c r="AR14">
        <v>319354348.83540201</v>
      </c>
    </row>
    <row r="15" spans="1:60" x14ac:dyDescent="0.3">
      <c r="A15" t="s">
        <v>11</v>
      </c>
      <c r="B15" t="s">
        <v>1</v>
      </c>
      <c r="C15">
        <v>15.422809493999999</v>
      </c>
      <c r="D15">
        <v>15.907526424</v>
      </c>
      <c r="E15">
        <v>15.321581298</v>
      </c>
      <c r="F15">
        <v>15.894441802999999</v>
      </c>
      <c r="G15">
        <v>17.070621984999999</v>
      </c>
      <c r="H15">
        <v>17.478427648</v>
      </c>
      <c r="I15">
        <v>17.260405035000002</v>
      </c>
      <c r="J15">
        <v>18.008450717999999</v>
      </c>
      <c r="K15">
        <v>18.846312437999998</v>
      </c>
      <c r="L15">
        <v>19.069762484999998</v>
      </c>
      <c r="M15">
        <v>19.172634947999999</v>
      </c>
      <c r="N15">
        <v>18.991670120999999</v>
      </c>
      <c r="O15">
        <v>19.122471284</v>
      </c>
      <c r="P15">
        <v>19.835147797000001</v>
      </c>
      <c r="Q15">
        <v>19.909462621999999</v>
      </c>
      <c r="R15">
        <v>20.088726842</v>
      </c>
      <c r="S15">
        <v>21.001914490000001</v>
      </c>
      <c r="T15">
        <v>21.445410997</v>
      </c>
      <c r="U15">
        <v>21.655743900000001</v>
      </c>
      <c r="V15">
        <v>21.622543710999999</v>
      </c>
      <c r="W15">
        <v>22.579528056000001</v>
      </c>
      <c r="X15">
        <v>21.914268290999999</v>
      </c>
      <c r="Y15">
        <v>21.903989304</v>
      </c>
      <c r="Z15">
        <v>22.320927964999999</v>
      </c>
      <c r="AA15">
        <v>22.466194564999999</v>
      </c>
      <c r="AB15">
        <v>22.796542703</v>
      </c>
      <c r="AC15">
        <v>22.447160049000001</v>
      </c>
      <c r="AD15">
        <v>22.749466285</v>
      </c>
      <c r="AE15">
        <v>22.387437362</v>
      </c>
      <c r="AF15">
        <v>19.691205439000001</v>
      </c>
      <c r="AG15">
        <v>20.833967556000001</v>
      </c>
      <c r="AH15">
        <v>19.657784072999998</v>
      </c>
      <c r="AI15">
        <v>17.378234003999999</v>
      </c>
      <c r="AJ15">
        <v>18.038633142999998</v>
      </c>
      <c r="AK15">
        <v>17.997632024000001</v>
      </c>
      <c r="AL15">
        <v>15.548870189000001</v>
      </c>
      <c r="AM15">
        <v>14.225904563</v>
      </c>
      <c r="AN15">
        <v>13.837465264</v>
      </c>
      <c r="AQ15">
        <v>2016</v>
      </c>
      <c r="AR15">
        <v>321227192.175843</v>
      </c>
    </row>
    <row r="16" spans="1:60" x14ac:dyDescent="0.3">
      <c r="B16" t="s">
        <v>4</v>
      </c>
      <c r="C16">
        <f>C15*0.000293071*10^15</f>
        <v>4519978201216.0732</v>
      </c>
      <c r="D16">
        <f t="shared" ref="D16:AN16" si="2">D15*0.000293071*10^15</f>
        <v>4662034676608.1045</v>
      </c>
      <c r="E16">
        <f t="shared" si="2"/>
        <v>4490311152586.1572</v>
      </c>
      <c r="F16">
        <f t="shared" si="2"/>
        <v>4658199953647.0127</v>
      </c>
      <c r="G16">
        <f t="shared" si="2"/>
        <v>5002904255765.9346</v>
      </c>
      <c r="H16">
        <f t="shared" si="2"/>
        <v>5122420269227.0078</v>
      </c>
      <c r="I16">
        <f t="shared" si="2"/>
        <v>5058524164012.4854</v>
      </c>
      <c r="J16">
        <f t="shared" si="2"/>
        <v>5277754660374.9775</v>
      </c>
      <c r="K16">
        <f t="shared" si="2"/>
        <v>5523307632517.0977</v>
      </c>
      <c r="L16">
        <f t="shared" si="2"/>
        <v>5588794361241.4346</v>
      </c>
      <c r="M16">
        <f t="shared" si="2"/>
        <v>5618943296845.3076</v>
      </c>
      <c r="N16">
        <f t="shared" si="2"/>
        <v>5565907754031.5908</v>
      </c>
      <c r="O16">
        <f t="shared" si="2"/>
        <v>5604241781673.1641</v>
      </c>
      <c r="P16">
        <f t="shared" si="2"/>
        <v>5813106600014.5879</v>
      </c>
      <c r="Q16">
        <f t="shared" si="2"/>
        <v>5834886120092.1621</v>
      </c>
      <c r="R16">
        <f t="shared" si="2"/>
        <v>5887423264311.7822</v>
      </c>
      <c r="S16">
        <f t="shared" si="2"/>
        <v>6155052081498.791</v>
      </c>
      <c r="T16">
        <f t="shared" si="2"/>
        <v>6285028046301.7871</v>
      </c>
      <c r="U16">
        <f t="shared" si="2"/>
        <v>6346670520516.9004</v>
      </c>
      <c r="V16">
        <f t="shared" si="2"/>
        <v>6336940507926.4805</v>
      </c>
      <c r="W16">
        <f t="shared" si="2"/>
        <v>6617404866899.9766</v>
      </c>
      <c r="X16">
        <f t="shared" si="2"/>
        <v>6422436522311.6611</v>
      </c>
      <c r="Y16">
        <f t="shared" si="2"/>
        <v>6419424049312.583</v>
      </c>
      <c r="Z16">
        <f t="shared" si="2"/>
        <v>6541616679630.5156</v>
      </c>
      <c r="AA16">
        <f t="shared" si="2"/>
        <v>6584190107359.1152</v>
      </c>
      <c r="AB16">
        <f t="shared" si="2"/>
        <v>6681005566510.9131</v>
      </c>
      <c r="AC16">
        <f t="shared" si="2"/>
        <v>6578611642720.4795</v>
      </c>
      <c r="AD16">
        <f t="shared" si="2"/>
        <v>6667208833611.2344</v>
      </c>
      <c r="AE16">
        <f t="shared" si="2"/>
        <v>6561108655118.7021</v>
      </c>
      <c r="AF16">
        <f t="shared" si="2"/>
        <v>5770921269213.1689</v>
      </c>
      <c r="AG16">
        <f t="shared" si="2"/>
        <v>6105831705604.4766</v>
      </c>
      <c r="AH16">
        <f t="shared" si="2"/>
        <v>5761126436058.1826</v>
      </c>
      <c r="AI16">
        <f t="shared" si="2"/>
        <v>5093056417786.2842</v>
      </c>
      <c r="AJ16">
        <f t="shared" si="2"/>
        <v>5286600253852.1523</v>
      </c>
      <c r="AK16">
        <f t="shared" si="2"/>
        <v>5274584014905.7051</v>
      </c>
      <c r="AL16">
        <f t="shared" si="2"/>
        <v>4556922935160.4189</v>
      </c>
      <c r="AM16">
        <f t="shared" si="2"/>
        <v>4169200076182.9727</v>
      </c>
      <c r="AN16">
        <f t="shared" si="2"/>
        <v>4055359782385.7446</v>
      </c>
      <c r="AP16" t="s">
        <v>18</v>
      </c>
      <c r="AQ16">
        <v>2017</v>
      </c>
      <c r="AR16">
        <v>323023784.379278</v>
      </c>
      <c r="AT16">
        <f>AN12/AR16</f>
        <v>88647.582475977106</v>
      </c>
      <c r="AW16">
        <f>AN16/AN12</f>
        <v>0.14162110958524415</v>
      </c>
      <c r="AZ16">
        <f>AN21/AN12</f>
        <v>0.28713292131043522</v>
      </c>
      <c r="BC16">
        <f>AN26/AN12</f>
        <v>0.38411517139534485</v>
      </c>
      <c r="BF16">
        <f>AN31/AN12</f>
        <v>0.18713079770897562</v>
      </c>
      <c r="BH16">
        <f>(AR16*AT16*(AW16*950+AZ16*390+BC16*870+BF16*20))*10^(-6)</f>
        <v>16735736450.308918</v>
      </c>
    </row>
    <row r="17" spans="1:60" x14ac:dyDescent="0.3">
      <c r="A17" t="s">
        <v>9</v>
      </c>
      <c r="B17" t="s">
        <v>5</v>
      </c>
      <c r="C17">
        <f>C16*950</f>
        <v>4293979291155269.5</v>
      </c>
      <c r="D17">
        <f t="shared" ref="D17:AN17" si="3">D16*950</f>
        <v>4428932942777699.5</v>
      </c>
      <c r="E17">
        <f t="shared" si="3"/>
        <v>4265795594956849.5</v>
      </c>
      <c r="F17">
        <f t="shared" si="3"/>
        <v>4425289955964662</v>
      </c>
      <c r="G17">
        <f t="shared" si="3"/>
        <v>4752759042977638</v>
      </c>
      <c r="H17">
        <f t="shared" si="3"/>
        <v>4866299255765657</v>
      </c>
      <c r="I17">
        <f t="shared" si="3"/>
        <v>4805597955811861</v>
      </c>
      <c r="J17">
        <f t="shared" si="3"/>
        <v>5013866927356229</v>
      </c>
      <c r="K17">
        <f t="shared" si="3"/>
        <v>5247142250891243</v>
      </c>
      <c r="L17">
        <f t="shared" si="3"/>
        <v>5309354643179363</v>
      </c>
      <c r="M17">
        <f t="shared" si="3"/>
        <v>5337996132003042</v>
      </c>
      <c r="N17">
        <f t="shared" si="3"/>
        <v>5287612366330011</v>
      </c>
      <c r="O17">
        <f t="shared" si="3"/>
        <v>5324029692589506</v>
      </c>
      <c r="P17">
        <f t="shared" si="3"/>
        <v>5522451270013858</v>
      </c>
      <c r="Q17">
        <f t="shared" si="3"/>
        <v>5543141814087554</v>
      </c>
      <c r="R17">
        <f t="shared" si="3"/>
        <v>5593052101096193</v>
      </c>
      <c r="S17">
        <f t="shared" si="3"/>
        <v>5847299477423851</v>
      </c>
      <c r="T17">
        <f t="shared" si="3"/>
        <v>5970776643986698</v>
      </c>
      <c r="U17">
        <f t="shared" si="3"/>
        <v>6029336994491055</v>
      </c>
      <c r="V17">
        <f t="shared" si="3"/>
        <v>6020093482530156</v>
      </c>
      <c r="W17">
        <f t="shared" si="3"/>
        <v>6286534623554978</v>
      </c>
      <c r="X17">
        <f t="shared" si="3"/>
        <v>6101314696196078</v>
      </c>
      <c r="Y17">
        <f t="shared" si="3"/>
        <v>6098452846846954</v>
      </c>
      <c r="Z17">
        <f t="shared" si="3"/>
        <v>6214535845648990</v>
      </c>
      <c r="AA17">
        <f t="shared" si="3"/>
        <v>6254980601991159</v>
      </c>
      <c r="AB17">
        <f t="shared" si="3"/>
        <v>6346955288185367</v>
      </c>
      <c r="AC17">
        <f t="shared" si="3"/>
        <v>6249681060584456</v>
      </c>
      <c r="AD17">
        <f t="shared" si="3"/>
        <v>6333848391930673</v>
      </c>
      <c r="AE17">
        <f t="shared" si="3"/>
        <v>6233053222362767</v>
      </c>
      <c r="AF17">
        <f t="shared" si="3"/>
        <v>5482375205752510</v>
      </c>
      <c r="AG17">
        <f t="shared" si="3"/>
        <v>5800540120324253</v>
      </c>
      <c r="AH17">
        <f t="shared" si="3"/>
        <v>5473070114255273</v>
      </c>
      <c r="AI17">
        <f t="shared" si="3"/>
        <v>4838403596896970</v>
      </c>
      <c r="AJ17">
        <f t="shared" si="3"/>
        <v>5022270241159545</v>
      </c>
      <c r="AK17">
        <f t="shared" si="3"/>
        <v>5010854814160420</v>
      </c>
      <c r="AL17">
        <f t="shared" si="3"/>
        <v>4329076788402398</v>
      </c>
      <c r="AM17">
        <f t="shared" si="3"/>
        <v>3960740072373824</v>
      </c>
      <c r="AN17">
        <f t="shared" si="3"/>
        <v>3852591793266457.5</v>
      </c>
      <c r="AP17" t="s">
        <v>19</v>
      </c>
      <c r="AQ17">
        <v>2018</v>
      </c>
      <c r="AR17">
        <v>324713893.78297299</v>
      </c>
      <c r="AT17">
        <f>AT16</f>
        <v>88647.582475977106</v>
      </c>
      <c r="AV17">
        <f>(Norvège!AT16-AW16)/33</f>
        <v>-3.9359522031720074E-3</v>
      </c>
      <c r="AW17">
        <f>AW16+AV17</f>
        <v>0.13768515738207215</v>
      </c>
      <c r="AY17">
        <f>(Norvège!AV16-AZ16)/33</f>
        <v>-6.2933192413652944E-3</v>
      </c>
      <c r="AZ17">
        <f>AZ16+AY17</f>
        <v>0.28083960206906994</v>
      </c>
      <c r="BB17">
        <f>(Norvège!AX16-BC16)/33</f>
        <v>-4.6775380944572504E-3</v>
      </c>
      <c r="BC17">
        <f>BC16+BB17</f>
        <v>0.37943763330088759</v>
      </c>
      <c r="BE17">
        <f>(Norvège!AZ16-USA!BF16)/33</f>
        <v>1.4906809538994157E-2</v>
      </c>
      <c r="BF17">
        <f>BF16+BE17</f>
        <v>0.20203760724796976</v>
      </c>
      <c r="BH17">
        <f t="shared" ref="BH17:BH49" si="4">(AR17*AT17*(AW17*950+AZ17*390+BC17*870+BF17*20))*10^(-6)</f>
        <v>16536460533.850882</v>
      </c>
    </row>
    <row r="18" spans="1:60" x14ac:dyDescent="0.3">
      <c r="B18" t="s">
        <v>10</v>
      </c>
      <c r="C18">
        <f>C17/C13*100</f>
        <v>27.947399882009478</v>
      </c>
      <c r="D18">
        <f t="shared" ref="D18:AN18" si="5">D17/D13*100</f>
        <v>29.790130575885392</v>
      </c>
      <c r="E18">
        <f t="shared" si="5"/>
        <v>30.216690103353116</v>
      </c>
      <c r="F18">
        <f t="shared" si="5"/>
        <v>31.366723126859704</v>
      </c>
      <c r="G18">
        <f t="shared" si="5"/>
        <v>32.054062445773653</v>
      </c>
      <c r="H18">
        <f t="shared" si="5"/>
        <v>32.806845969526286</v>
      </c>
      <c r="I18">
        <f t="shared" si="5"/>
        <v>32.087596823583318</v>
      </c>
      <c r="J18">
        <f t="shared" si="5"/>
        <v>32.396248163796983</v>
      </c>
      <c r="K18">
        <f t="shared" si="5"/>
        <v>32.486005552147681</v>
      </c>
      <c r="L18">
        <f t="shared" si="5"/>
        <v>32.476679809754181</v>
      </c>
      <c r="M18">
        <f t="shared" si="5"/>
        <v>32.935955022047679</v>
      </c>
      <c r="N18">
        <f t="shared" si="5"/>
        <v>32.986552681601808</v>
      </c>
      <c r="O18">
        <f t="shared" si="5"/>
        <v>32.625756745220578</v>
      </c>
      <c r="P18">
        <f t="shared" si="5"/>
        <v>33.245686188623196</v>
      </c>
      <c r="Q18">
        <f t="shared" si="5"/>
        <v>32.772365816593613</v>
      </c>
      <c r="R18">
        <f t="shared" si="5"/>
        <v>32.80264239763877</v>
      </c>
      <c r="S18">
        <f t="shared" si="5"/>
        <v>33.10191658545795</v>
      </c>
      <c r="T18">
        <f t="shared" si="5"/>
        <v>33.304300966570828</v>
      </c>
      <c r="U18">
        <f t="shared" si="5"/>
        <v>33.291006010731145</v>
      </c>
      <c r="V18">
        <f t="shared" si="5"/>
        <v>32.765273428953904</v>
      </c>
      <c r="W18">
        <f t="shared" si="5"/>
        <v>33.341458320354093</v>
      </c>
      <c r="X18">
        <f t="shared" si="5"/>
        <v>32.927632790376229</v>
      </c>
      <c r="Y18">
        <f t="shared" si="5"/>
        <v>32.733013463659333</v>
      </c>
      <c r="Z18">
        <f t="shared" si="5"/>
        <v>32.994078852324108</v>
      </c>
      <c r="AA18">
        <f t="shared" si="5"/>
        <v>32.459362157125234</v>
      </c>
      <c r="AB18">
        <f t="shared" si="5"/>
        <v>32.793987172833916</v>
      </c>
      <c r="AC18">
        <f t="shared" si="5"/>
        <v>32.66336302681831</v>
      </c>
      <c r="AD18">
        <f t="shared" si="5"/>
        <v>32.781413364555497</v>
      </c>
      <c r="AE18">
        <f t="shared" si="5"/>
        <v>33.438972922953774</v>
      </c>
      <c r="AF18">
        <f t="shared" si="5"/>
        <v>31.573037169778278</v>
      </c>
      <c r="AG18">
        <f t="shared" si="5"/>
        <v>32.235360701190181</v>
      </c>
      <c r="AH18">
        <f t="shared" si="5"/>
        <v>31.171558688565028</v>
      </c>
      <c r="AI18">
        <f t="shared" si="5"/>
        <v>28.716355179908604</v>
      </c>
      <c r="AJ18">
        <f t="shared" si="5"/>
        <v>29.054146405529877</v>
      </c>
      <c r="AK18">
        <f t="shared" si="5"/>
        <v>28.776507844456845</v>
      </c>
      <c r="AL18">
        <f t="shared" si="5"/>
        <v>25.43720578924616</v>
      </c>
      <c r="AM18">
        <f t="shared" si="5"/>
        <v>23.588015206025702</v>
      </c>
      <c r="AN18">
        <f t="shared" si="5"/>
        <v>23.020150948871713</v>
      </c>
      <c r="AQ18">
        <v>2019</v>
      </c>
      <c r="AR18">
        <v>326275112.55601299</v>
      </c>
      <c r="AT18">
        <f t="shared" ref="AT18:AT49" si="6">AT17</f>
        <v>88647.582475977106</v>
      </c>
      <c r="AV18">
        <f>AV17</f>
        <v>-3.9359522031720074E-3</v>
      </c>
      <c r="AW18">
        <f t="shared" ref="AW18:AW49" si="7">AW17+AV18</f>
        <v>0.13374920517890015</v>
      </c>
      <c r="AY18">
        <f>AY17</f>
        <v>-6.2933192413652944E-3</v>
      </c>
      <c r="AZ18">
        <f t="shared" ref="AZ18:AZ49" si="8">AZ17+AY18</f>
        <v>0.27454628282770466</v>
      </c>
      <c r="BB18">
        <f>BB17</f>
        <v>-4.6775380944572504E-3</v>
      </c>
      <c r="BC18">
        <f t="shared" ref="BC18:BC49" si="9">BC17+BB18</f>
        <v>0.37476009520643033</v>
      </c>
      <c r="BE18">
        <f>BE17</f>
        <v>1.4906809538994157E-2</v>
      </c>
      <c r="BF18">
        <f t="shared" ref="BF18:BF49" si="10">BF17+BE18</f>
        <v>0.21694441678696391</v>
      </c>
      <c r="BH18">
        <f t="shared" si="4"/>
        <v>16327748602.195045</v>
      </c>
    </row>
    <row r="19" spans="1:60" x14ac:dyDescent="0.3">
      <c r="AQ19">
        <v>2020</v>
      </c>
      <c r="AR19">
        <v>327717506.02963299</v>
      </c>
      <c r="AT19">
        <f t="shared" si="6"/>
        <v>88647.582475977106</v>
      </c>
      <c r="AV19">
        <f t="shared" ref="AV19:AV49" si="11">AV18</f>
        <v>-3.9359522031720074E-3</v>
      </c>
      <c r="AW19">
        <f t="shared" si="7"/>
        <v>0.12981325297572816</v>
      </c>
      <c r="AY19">
        <f t="shared" ref="AY19:AY49" si="12">AY18</f>
        <v>-6.2933192413652944E-3</v>
      </c>
      <c r="AZ19">
        <f t="shared" si="8"/>
        <v>0.26825296358633938</v>
      </c>
      <c r="BB19">
        <f t="shared" ref="BB19:BB49" si="13">BB18</f>
        <v>-4.6775380944572504E-3</v>
      </c>
      <c r="BC19">
        <f t="shared" si="9"/>
        <v>0.37008255711197308</v>
      </c>
      <c r="BE19">
        <f t="shared" ref="BE19:BE49" si="14">BE18</f>
        <v>1.4906809538994157E-2</v>
      </c>
      <c r="BF19">
        <f t="shared" si="10"/>
        <v>0.23185122632595806</v>
      </c>
      <c r="BH19">
        <f t="shared" si="4"/>
        <v>16110437033.39776</v>
      </c>
    </row>
    <row r="20" spans="1:60" x14ac:dyDescent="0.3">
      <c r="A20" t="s">
        <v>12</v>
      </c>
      <c r="B20" t="s">
        <v>1</v>
      </c>
      <c r="C20">
        <v>20.235459103</v>
      </c>
      <c r="D20">
        <v>19.747309671</v>
      </c>
      <c r="E20">
        <v>18.356222148000001</v>
      </c>
      <c r="F20">
        <v>17.220836066</v>
      </c>
      <c r="G20">
        <v>18.393612515000001</v>
      </c>
      <c r="H20">
        <v>17.703482184999999</v>
      </c>
      <c r="I20">
        <v>16.591364143</v>
      </c>
      <c r="J20">
        <v>17.639800878999999</v>
      </c>
      <c r="K20">
        <v>18.448392651999999</v>
      </c>
      <c r="L20">
        <v>19.601605666000001</v>
      </c>
      <c r="M20">
        <v>19.603266853000001</v>
      </c>
      <c r="N20">
        <v>20.032957500999999</v>
      </c>
      <c r="O20">
        <v>20.713632015000002</v>
      </c>
      <c r="P20">
        <v>21.228999702999999</v>
      </c>
      <c r="Q20">
        <v>21.728066827999999</v>
      </c>
      <c r="R20">
        <v>22.671138742</v>
      </c>
      <c r="S20">
        <v>23.084647038</v>
      </c>
      <c r="T20">
        <v>23.222716326</v>
      </c>
      <c r="U20">
        <v>22.830226191000001</v>
      </c>
      <c r="V20">
        <v>22.909227437999999</v>
      </c>
      <c r="W20">
        <v>23.823976775999999</v>
      </c>
      <c r="X20">
        <v>22.772557772999999</v>
      </c>
      <c r="Y20">
        <v>23.510080922</v>
      </c>
      <c r="Z20">
        <v>22.830642206</v>
      </c>
      <c r="AA20">
        <v>22.923061370999999</v>
      </c>
      <c r="AB20">
        <v>22.565363999999999</v>
      </c>
      <c r="AC20">
        <v>22.238737723</v>
      </c>
      <c r="AD20">
        <v>23.662759008999998</v>
      </c>
      <c r="AE20">
        <v>23.842953331</v>
      </c>
      <c r="AF20">
        <v>23.415939986000001</v>
      </c>
      <c r="AG20">
        <v>24.574753991000001</v>
      </c>
      <c r="AH20">
        <v>24.954538535000001</v>
      </c>
      <c r="AI20">
        <v>26.088581606999998</v>
      </c>
      <c r="AJ20">
        <v>26.805134424999999</v>
      </c>
      <c r="AK20">
        <v>27.382832544999999</v>
      </c>
      <c r="AL20">
        <v>28.191094829000001</v>
      </c>
      <c r="AM20">
        <v>28.400351852</v>
      </c>
      <c r="AN20">
        <v>28.055081875999999</v>
      </c>
      <c r="AQ20">
        <v>2021</v>
      </c>
      <c r="AR20">
        <v>329067838.52125698</v>
      </c>
      <c r="AT20">
        <f t="shared" si="6"/>
        <v>88647.582475977106</v>
      </c>
      <c r="AV20">
        <f t="shared" si="11"/>
        <v>-3.9359522031720074E-3</v>
      </c>
      <c r="AW20">
        <f t="shared" si="7"/>
        <v>0.12587730077255616</v>
      </c>
      <c r="AY20">
        <f t="shared" si="12"/>
        <v>-6.2933192413652944E-3</v>
      </c>
      <c r="AZ20">
        <f t="shared" si="8"/>
        <v>0.2619596443449741</v>
      </c>
      <c r="BB20">
        <f t="shared" si="13"/>
        <v>-4.6775380944572504E-3</v>
      </c>
      <c r="BC20">
        <f t="shared" si="9"/>
        <v>0.36540501901751582</v>
      </c>
      <c r="BE20">
        <f t="shared" si="14"/>
        <v>1.4906809538994157E-2</v>
      </c>
      <c r="BF20">
        <f t="shared" si="10"/>
        <v>0.24675803586495221</v>
      </c>
      <c r="BH20">
        <f t="shared" si="4"/>
        <v>15886132803.190765</v>
      </c>
    </row>
    <row r="21" spans="1:60" x14ac:dyDescent="0.3">
      <c r="B21" t="s">
        <v>4</v>
      </c>
      <c r="C21">
        <f>C20*0.000293071*10^15</f>
        <v>5930426234775.3125</v>
      </c>
      <c r="D21">
        <f t="shared" ref="D21:AN21" si="15">D20*0.000293071*10^15</f>
        <v>5787363792589.6406</v>
      </c>
      <c r="E21">
        <f t="shared" si="15"/>
        <v>5379676381136.5088</v>
      </c>
      <c r="F21">
        <f t="shared" si="15"/>
        <v>5046927646698.6865</v>
      </c>
      <c r="G21">
        <f t="shared" si="15"/>
        <v>5390634413383.5654</v>
      </c>
      <c r="H21">
        <f t="shared" si="15"/>
        <v>5188377227440.1348</v>
      </c>
      <c r="I21">
        <f t="shared" si="15"/>
        <v>4862447680753.1533</v>
      </c>
      <c r="J21">
        <f t="shared" si="15"/>
        <v>5169714083409.4082</v>
      </c>
      <c r="K21">
        <f t="shared" si="15"/>
        <v>5406688882914.292</v>
      </c>
      <c r="L21">
        <f t="shared" si="15"/>
        <v>5744662174140.2861</v>
      </c>
      <c r="M21">
        <f t="shared" si="15"/>
        <v>5745149019875.5635</v>
      </c>
      <c r="N21">
        <f t="shared" si="15"/>
        <v>5871078887775.5703</v>
      </c>
      <c r="O21">
        <f t="shared" si="15"/>
        <v>6070564848268.0654</v>
      </c>
      <c r="P21">
        <f t="shared" si="15"/>
        <v>6221604171957.9131</v>
      </c>
      <c r="Q21">
        <f t="shared" si="15"/>
        <v>6367866273348.7881</v>
      </c>
      <c r="R21">
        <f t="shared" si="15"/>
        <v>6644253302256.6816</v>
      </c>
      <c r="S21">
        <f t="shared" si="15"/>
        <v>6765440592073.6982</v>
      </c>
      <c r="T21">
        <f t="shared" si="15"/>
        <v>6805904696377.1455</v>
      </c>
      <c r="U21">
        <f t="shared" si="15"/>
        <v>6690877220022.5615</v>
      </c>
      <c r="V21">
        <f t="shared" si="15"/>
        <v>6714030194482.0977</v>
      </c>
      <c r="W21">
        <f t="shared" si="15"/>
        <v>6982116697719.0947</v>
      </c>
      <c r="X21">
        <f t="shared" si="15"/>
        <v>6673976279090.8828</v>
      </c>
      <c r="Y21">
        <f t="shared" si="15"/>
        <v>6890122925891.4619</v>
      </c>
      <c r="Z21">
        <f t="shared" si="15"/>
        <v>6690999141954.626</v>
      </c>
      <c r="AA21">
        <f t="shared" si="15"/>
        <v>6718084519060.3408</v>
      </c>
      <c r="AB21">
        <f t="shared" si="15"/>
        <v>6613253792844</v>
      </c>
      <c r="AC21">
        <f t="shared" si="15"/>
        <v>6517529103217.333</v>
      </c>
      <c r="AD21">
        <f t="shared" si="15"/>
        <v>6934868445526.6387</v>
      </c>
      <c r="AE21">
        <f t="shared" si="15"/>
        <v>6987678175669.501</v>
      </c>
      <c r="AF21">
        <f t="shared" si="15"/>
        <v>6862532947637.0068</v>
      </c>
      <c r="AG21">
        <f t="shared" si="15"/>
        <v>7202147726896.3613</v>
      </c>
      <c r="AH21">
        <f t="shared" si="15"/>
        <v>7313451562990.9854</v>
      </c>
      <c r="AI21">
        <f t="shared" si="15"/>
        <v>7645806700145.0967</v>
      </c>
      <c r="AJ21">
        <f t="shared" si="15"/>
        <v>7855807551069.1738</v>
      </c>
      <c r="AK21">
        <f t="shared" si="15"/>
        <v>8025114116795.6943</v>
      </c>
      <c r="AL21">
        <f t="shared" si="15"/>
        <v>8261992352629.8584</v>
      </c>
      <c r="AM21">
        <f t="shared" si="15"/>
        <v>8323319517617.4912</v>
      </c>
      <c r="AN21">
        <f t="shared" si="15"/>
        <v>8222130900481.1963</v>
      </c>
      <c r="AQ21">
        <v>2022</v>
      </c>
      <c r="AR21">
        <v>330355031.38587397</v>
      </c>
      <c r="AT21">
        <f t="shared" si="6"/>
        <v>88647.582475977106</v>
      </c>
      <c r="AV21">
        <f t="shared" si="11"/>
        <v>-3.9359522031720074E-3</v>
      </c>
      <c r="AW21">
        <f t="shared" si="7"/>
        <v>0.12194134856938414</v>
      </c>
      <c r="AY21">
        <f t="shared" si="12"/>
        <v>-6.2933192413652944E-3</v>
      </c>
      <c r="AZ21">
        <f t="shared" si="8"/>
        <v>0.25566632510360882</v>
      </c>
      <c r="BB21">
        <f t="shared" si="13"/>
        <v>-4.6775380944572504E-3</v>
      </c>
      <c r="BC21">
        <f t="shared" si="9"/>
        <v>0.36072748092305856</v>
      </c>
      <c r="BE21">
        <f t="shared" si="14"/>
        <v>1.4906809538994157E-2</v>
      </c>
      <c r="BF21">
        <f t="shared" si="10"/>
        <v>0.26166484540394636</v>
      </c>
      <c r="BH21">
        <f t="shared" si="4"/>
        <v>15656450545.064953</v>
      </c>
    </row>
    <row r="22" spans="1:60" x14ac:dyDescent="0.3">
      <c r="A22" t="s">
        <v>8</v>
      </c>
      <c r="B22" t="s">
        <v>5</v>
      </c>
      <c r="C22">
        <f>C21*390</f>
        <v>2312866231562372</v>
      </c>
      <c r="D22">
        <f t="shared" ref="D22:AN22" si="16">D21*390</f>
        <v>2257071879109960</v>
      </c>
      <c r="E22">
        <f t="shared" si="16"/>
        <v>2098073788643238.5</v>
      </c>
      <c r="F22">
        <f t="shared" si="16"/>
        <v>1968301782212487.8</v>
      </c>
      <c r="G22">
        <f t="shared" si="16"/>
        <v>2102347421219590.5</v>
      </c>
      <c r="H22">
        <f t="shared" si="16"/>
        <v>2023467118701652.5</v>
      </c>
      <c r="I22">
        <f t="shared" si="16"/>
        <v>1896354595493729.8</v>
      </c>
      <c r="J22">
        <f t="shared" si="16"/>
        <v>2016188492529669.3</v>
      </c>
      <c r="K22">
        <f t="shared" si="16"/>
        <v>2108608664336574</v>
      </c>
      <c r="L22">
        <f t="shared" si="16"/>
        <v>2240418247914711.5</v>
      </c>
      <c r="M22">
        <f t="shared" si="16"/>
        <v>2240608117751469.8</v>
      </c>
      <c r="N22">
        <f t="shared" si="16"/>
        <v>2289720766232472.5</v>
      </c>
      <c r="O22">
        <f t="shared" si="16"/>
        <v>2367520290824545.5</v>
      </c>
      <c r="P22">
        <f t="shared" si="16"/>
        <v>2426425627063586</v>
      </c>
      <c r="Q22">
        <f t="shared" si="16"/>
        <v>2483467846606027.5</v>
      </c>
      <c r="R22">
        <f t="shared" si="16"/>
        <v>2591258787880106</v>
      </c>
      <c r="S22">
        <f t="shared" si="16"/>
        <v>2638521830908742.5</v>
      </c>
      <c r="T22">
        <f t="shared" si="16"/>
        <v>2654302831587086.5</v>
      </c>
      <c r="U22">
        <f t="shared" si="16"/>
        <v>2609442115808799</v>
      </c>
      <c r="V22">
        <f t="shared" si="16"/>
        <v>2618471775848018</v>
      </c>
      <c r="W22">
        <f t="shared" si="16"/>
        <v>2723025512110447</v>
      </c>
      <c r="X22">
        <f t="shared" si="16"/>
        <v>2602850748845444.5</v>
      </c>
      <c r="Y22">
        <f t="shared" si="16"/>
        <v>2687147941097670</v>
      </c>
      <c r="Z22">
        <f t="shared" si="16"/>
        <v>2609489665362304</v>
      </c>
      <c r="AA22">
        <f t="shared" si="16"/>
        <v>2620052962433533</v>
      </c>
      <c r="AB22">
        <f t="shared" si="16"/>
        <v>2579168979209160</v>
      </c>
      <c r="AC22">
        <f t="shared" si="16"/>
        <v>2541836350254760</v>
      </c>
      <c r="AD22">
        <f t="shared" si="16"/>
        <v>2704598693755389</v>
      </c>
      <c r="AE22">
        <f t="shared" si="16"/>
        <v>2725194488511105.5</v>
      </c>
      <c r="AF22">
        <f t="shared" si="16"/>
        <v>2676387849578432.5</v>
      </c>
      <c r="AG22">
        <f t="shared" si="16"/>
        <v>2808837613489581</v>
      </c>
      <c r="AH22">
        <f t="shared" si="16"/>
        <v>2852246109566484.5</v>
      </c>
      <c r="AI22">
        <f t="shared" si="16"/>
        <v>2981864613056587.5</v>
      </c>
      <c r="AJ22">
        <f t="shared" si="16"/>
        <v>3063764944916978</v>
      </c>
      <c r="AK22">
        <f t="shared" si="16"/>
        <v>3129794505550321</v>
      </c>
      <c r="AL22">
        <f t="shared" si="16"/>
        <v>3222177017525645</v>
      </c>
      <c r="AM22">
        <f t="shared" si="16"/>
        <v>3246094611870821.5</v>
      </c>
      <c r="AN22">
        <f t="shared" si="16"/>
        <v>3206631051187666.5</v>
      </c>
      <c r="AQ22">
        <v>2023</v>
      </c>
      <c r="AR22">
        <v>331606804.76408702</v>
      </c>
      <c r="AT22">
        <f t="shared" si="6"/>
        <v>88647.582475977106</v>
      </c>
      <c r="AV22">
        <f t="shared" si="11"/>
        <v>-3.9359522031720074E-3</v>
      </c>
      <c r="AW22">
        <f t="shared" si="7"/>
        <v>0.11800539636621213</v>
      </c>
      <c r="AY22">
        <f t="shared" si="12"/>
        <v>-6.2933192413652944E-3</v>
      </c>
      <c r="AZ22">
        <f t="shared" si="8"/>
        <v>0.24937300586224354</v>
      </c>
      <c r="BB22">
        <f t="shared" si="13"/>
        <v>-4.6775380944572504E-3</v>
      </c>
      <c r="BC22">
        <f t="shared" si="9"/>
        <v>0.35604994282860131</v>
      </c>
      <c r="BE22">
        <f t="shared" si="14"/>
        <v>1.4906809538994157E-2</v>
      </c>
      <c r="BF22">
        <f t="shared" si="10"/>
        <v>0.2765716549429405</v>
      </c>
      <c r="BH22">
        <f t="shared" si="4"/>
        <v>15422846832.630156</v>
      </c>
    </row>
    <row r="23" spans="1:60" x14ac:dyDescent="0.3">
      <c r="B23" t="s">
        <v>10</v>
      </c>
      <c r="C23">
        <f>C22/C13*100</f>
        <v>15.053309078647025</v>
      </c>
      <c r="D23">
        <f t="shared" ref="D23:AN23" si="17">D22/D13*100</f>
        <v>15.181640107577399</v>
      </c>
      <c r="E23">
        <f t="shared" si="17"/>
        <v>14.861669780978341</v>
      </c>
      <c r="F23">
        <f t="shared" si="17"/>
        <v>13.951442198617508</v>
      </c>
      <c r="G23">
        <f t="shared" si="17"/>
        <v>14.178874820522019</v>
      </c>
      <c r="H23">
        <f t="shared" si="17"/>
        <v>13.641490298607126</v>
      </c>
      <c r="I23">
        <f t="shared" si="17"/>
        <v>12.662204007549418</v>
      </c>
      <c r="J23">
        <f t="shared" si="17"/>
        <v>13.027258939124655</v>
      </c>
      <c r="K23">
        <f t="shared" si="17"/>
        <v>13.054777153279895</v>
      </c>
      <c r="L23">
        <f t="shared" si="17"/>
        <v>13.704367285189559</v>
      </c>
      <c r="M23">
        <f t="shared" si="17"/>
        <v>13.824769888060171</v>
      </c>
      <c r="N23">
        <f t="shared" si="17"/>
        <v>14.284329003093779</v>
      </c>
      <c r="O23">
        <f t="shared" si="17"/>
        <v>14.508210050993611</v>
      </c>
      <c r="P23">
        <f t="shared" si="17"/>
        <v>14.60731494280561</v>
      </c>
      <c r="Q23">
        <f t="shared" si="17"/>
        <v>14.682849454775862</v>
      </c>
      <c r="R23">
        <f t="shared" si="17"/>
        <v>15.197451023549499</v>
      </c>
      <c r="S23">
        <f t="shared" si="17"/>
        <v>14.936831932906314</v>
      </c>
      <c r="T23">
        <f t="shared" si="17"/>
        <v>14.805393942951591</v>
      </c>
      <c r="U23">
        <f t="shared" si="17"/>
        <v>14.408044075396489</v>
      </c>
      <c r="V23">
        <f t="shared" si="17"/>
        <v>14.251430472073078</v>
      </c>
      <c r="W23">
        <f t="shared" si="17"/>
        <v>14.441921830369337</v>
      </c>
      <c r="X23">
        <f t="shared" si="17"/>
        <v>14.047089509998989</v>
      </c>
      <c r="Y23">
        <f t="shared" si="17"/>
        <v>14.423076138117738</v>
      </c>
      <c r="Z23">
        <f t="shared" si="17"/>
        <v>13.85424590374978</v>
      </c>
      <c r="AA23">
        <f t="shared" si="17"/>
        <v>13.596404751664021</v>
      </c>
      <c r="AB23">
        <f t="shared" si="17"/>
        <v>13.326269144860895</v>
      </c>
      <c r="AC23">
        <f t="shared" si="17"/>
        <v>13.284665674662415</v>
      </c>
      <c r="AD23">
        <f t="shared" si="17"/>
        <v>13.997898635872918</v>
      </c>
      <c r="AE23">
        <f t="shared" si="17"/>
        <v>14.620074859004955</v>
      </c>
      <c r="AF23">
        <f t="shared" si="17"/>
        <v>15.413336352247004</v>
      </c>
      <c r="AG23">
        <f t="shared" si="17"/>
        <v>15.609562513782837</v>
      </c>
      <c r="AH23">
        <f t="shared" si="17"/>
        <v>16.244805044066364</v>
      </c>
      <c r="AI23">
        <f t="shared" si="17"/>
        <v>17.697631380286253</v>
      </c>
      <c r="AJ23">
        <f t="shared" si="17"/>
        <v>17.724071184428382</v>
      </c>
      <c r="AK23">
        <f t="shared" si="17"/>
        <v>17.973890579704864</v>
      </c>
      <c r="AL23">
        <f t="shared" si="17"/>
        <v>18.9331776474279</v>
      </c>
      <c r="AM23">
        <f t="shared" si="17"/>
        <v>19.33197525358344</v>
      </c>
      <c r="AN23">
        <f t="shared" si="17"/>
        <v>19.160382100355534</v>
      </c>
      <c r="AQ23">
        <v>2024</v>
      </c>
      <c r="AR23">
        <v>332855180.64076501</v>
      </c>
      <c r="AT23">
        <f t="shared" si="6"/>
        <v>88647.582475977106</v>
      </c>
      <c r="AV23">
        <f t="shared" si="11"/>
        <v>-3.9359522031720074E-3</v>
      </c>
      <c r="AW23">
        <f t="shared" si="7"/>
        <v>0.11406944416304012</v>
      </c>
      <c r="AY23">
        <f t="shared" si="12"/>
        <v>-6.2933192413652944E-3</v>
      </c>
      <c r="AZ23">
        <f t="shared" si="8"/>
        <v>0.24307968662087825</v>
      </c>
      <c r="BB23">
        <f t="shared" si="13"/>
        <v>-4.6775380944572504E-3</v>
      </c>
      <c r="BC23">
        <f t="shared" si="9"/>
        <v>0.35137240473414405</v>
      </c>
      <c r="BE23">
        <f t="shared" si="14"/>
        <v>1.4906809538994157E-2</v>
      </c>
      <c r="BF23">
        <f t="shared" si="10"/>
        <v>0.29147846448193465</v>
      </c>
      <c r="BH23">
        <f t="shared" si="4"/>
        <v>15186876568.134724</v>
      </c>
    </row>
    <row r="24" spans="1:60" x14ac:dyDescent="0.3">
      <c r="AQ24">
        <v>2025</v>
      </c>
      <c r="AR24">
        <v>334111442.92638499</v>
      </c>
      <c r="AT24">
        <f t="shared" si="6"/>
        <v>88647.582475977106</v>
      </c>
      <c r="AV24">
        <f t="shared" si="11"/>
        <v>-3.9359522031720074E-3</v>
      </c>
      <c r="AW24">
        <f t="shared" si="7"/>
        <v>0.1101334919598681</v>
      </c>
      <c r="AY24">
        <f t="shared" si="12"/>
        <v>-6.2933192413652944E-3</v>
      </c>
      <c r="AZ24">
        <f t="shared" si="8"/>
        <v>0.23678636737951297</v>
      </c>
      <c r="BB24">
        <f t="shared" si="13"/>
        <v>-4.6775380944572504E-3</v>
      </c>
      <c r="BC24">
        <f t="shared" si="9"/>
        <v>0.34669486663968679</v>
      </c>
      <c r="BE24">
        <f t="shared" si="14"/>
        <v>1.4906809538994157E-2</v>
      </c>
      <c r="BF24">
        <f t="shared" si="10"/>
        <v>0.3063852740209288</v>
      </c>
      <c r="BH24">
        <f t="shared" si="4"/>
        <v>14949053628.056572</v>
      </c>
    </row>
    <row r="25" spans="1:60" x14ac:dyDescent="0.3">
      <c r="A25" t="s">
        <v>13</v>
      </c>
      <c r="B25" t="s">
        <v>1</v>
      </c>
      <c r="C25">
        <v>34.158965137999999</v>
      </c>
      <c r="D25">
        <v>31.890665862999999</v>
      </c>
      <c r="E25">
        <v>30.198363758999999</v>
      </c>
      <c r="F25">
        <v>30.032291719</v>
      </c>
      <c r="G25">
        <v>31.035536116999999</v>
      </c>
      <c r="H25">
        <v>30.918849461000001</v>
      </c>
      <c r="I25">
        <v>32.210566800000002</v>
      </c>
      <c r="J25">
        <v>32.886966680999997</v>
      </c>
      <c r="K25">
        <v>34.243286226000002</v>
      </c>
      <c r="L25">
        <v>34.235454038</v>
      </c>
      <c r="M25">
        <v>33.563363508000002</v>
      </c>
      <c r="N25">
        <v>32.862616797000001</v>
      </c>
      <c r="O25">
        <v>33.551247629999999</v>
      </c>
      <c r="P25">
        <v>33.685257929999999</v>
      </c>
      <c r="Q25">
        <v>34.562795500999997</v>
      </c>
      <c r="R25">
        <v>34.458440187000001</v>
      </c>
      <c r="S25">
        <v>35.673079944000001</v>
      </c>
      <c r="T25">
        <v>36.171674983000003</v>
      </c>
      <c r="U25">
        <v>36.837543859999997</v>
      </c>
      <c r="V25">
        <v>37.854558376999996</v>
      </c>
      <c r="W25">
        <v>38.291877775000003</v>
      </c>
      <c r="X25">
        <v>38.232692653000001</v>
      </c>
      <c r="Y25">
        <v>38.295428778000002</v>
      </c>
      <c r="Z25">
        <v>38.948532282999999</v>
      </c>
      <c r="AA25">
        <v>40.444106636000001</v>
      </c>
      <c r="AB25">
        <v>40.572561186000001</v>
      </c>
      <c r="AC25">
        <v>40.228924947000003</v>
      </c>
      <c r="AD25">
        <v>39.997046623999999</v>
      </c>
      <c r="AE25">
        <v>37.629816605000002</v>
      </c>
      <c r="AF25">
        <v>35.756747429999997</v>
      </c>
      <c r="AG25">
        <v>36.447838097000002</v>
      </c>
      <c r="AH25">
        <v>35.833084763000002</v>
      </c>
      <c r="AI25">
        <v>35.045733632999998</v>
      </c>
      <c r="AJ25">
        <v>35.700909961999997</v>
      </c>
      <c r="AK25">
        <v>35.977291336999997</v>
      </c>
      <c r="AL25">
        <v>36.742889161000001</v>
      </c>
      <c r="AM25">
        <v>37.187634463000002</v>
      </c>
      <c r="AN25">
        <v>37.530989251000001</v>
      </c>
      <c r="AQ25">
        <v>2026</v>
      </c>
      <c r="AR25">
        <v>335369182.86529499</v>
      </c>
      <c r="AT25">
        <f t="shared" si="6"/>
        <v>88647.582475977106</v>
      </c>
      <c r="AV25">
        <f t="shared" si="11"/>
        <v>-3.9359522031720074E-3</v>
      </c>
      <c r="AW25">
        <f t="shared" si="7"/>
        <v>0.10619753975669609</v>
      </c>
      <c r="AY25">
        <f t="shared" si="12"/>
        <v>-6.2933192413652944E-3</v>
      </c>
      <c r="AZ25">
        <f t="shared" si="8"/>
        <v>0.23049304813814769</v>
      </c>
      <c r="BB25">
        <f t="shared" si="13"/>
        <v>-4.6775380944572504E-3</v>
      </c>
      <c r="BC25">
        <f t="shared" si="9"/>
        <v>0.34201732854522954</v>
      </c>
      <c r="BE25">
        <f t="shared" si="14"/>
        <v>1.4906809538994157E-2</v>
      </c>
      <c r="BF25">
        <f t="shared" si="10"/>
        <v>0.32129208355992295</v>
      </c>
      <c r="BH25">
        <f t="shared" si="4"/>
        <v>14709076028.851311</v>
      </c>
    </row>
    <row r="26" spans="1:60" x14ac:dyDescent="0.3">
      <c r="B26" t="s">
        <v>4</v>
      </c>
      <c r="C26">
        <f>C25*0.000293071*10^15</f>
        <v>10011002071958.799</v>
      </c>
      <c r="D26">
        <f t="shared" ref="D26:AN26" si="18">D25*0.000293071*10^15</f>
        <v>9346229335135.2734</v>
      </c>
      <c r="E26">
        <f t="shared" si="18"/>
        <v>8850264665213.8887</v>
      </c>
      <c r="F26">
        <f t="shared" si="18"/>
        <v>8801593766379.0488</v>
      </c>
      <c r="G26">
        <f t="shared" si="18"/>
        <v>9095615605345.3066</v>
      </c>
      <c r="H26">
        <f t="shared" si="18"/>
        <v>9061418130384.7305</v>
      </c>
      <c r="I26">
        <f t="shared" si="18"/>
        <v>9439983022642.8008</v>
      </c>
      <c r="J26">
        <f t="shared" si="18"/>
        <v>9638216212167.3496</v>
      </c>
      <c r="K26">
        <f t="shared" si="18"/>
        <v>10035714137540.047</v>
      </c>
      <c r="L26">
        <f t="shared" si="18"/>
        <v>10033418750370.699</v>
      </c>
      <c r="M26">
        <f t="shared" si="18"/>
        <v>9836448506653.0684</v>
      </c>
      <c r="N26">
        <f t="shared" si="18"/>
        <v>9631079967313.5879</v>
      </c>
      <c r="O26">
        <f t="shared" si="18"/>
        <v>9832897694171.7285</v>
      </c>
      <c r="P26">
        <f t="shared" si="18"/>
        <v>9872172226803.0293</v>
      </c>
      <c r="Q26">
        <f t="shared" si="18"/>
        <v>10129353040273.57</v>
      </c>
      <c r="R26">
        <f t="shared" si="18"/>
        <v>10098769524044.277</v>
      </c>
      <c r="S26">
        <f t="shared" si="18"/>
        <v>10454745212268.023</v>
      </c>
      <c r="T26">
        <f t="shared" si="18"/>
        <v>10600868958942.795</v>
      </c>
      <c r="U26">
        <f t="shared" si="18"/>
        <v>10796015816594.059</v>
      </c>
      <c r="V26">
        <f t="shared" si="18"/>
        <v>11094073278105.766</v>
      </c>
      <c r="W26">
        <f t="shared" si="18"/>
        <v>11222238911397.025</v>
      </c>
      <c r="X26">
        <f t="shared" si="18"/>
        <v>11204893468507.363</v>
      </c>
      <c r="Y26">
        <f t="shared" si="18"/>
        <v>11223279607397.238</v>
      </c>
      <c r="Z26">
        <f t="shared" si="18"/>
        <v>11414685304711.092</v>
      </c>
      <c r="AA26">
        <f t="shared" si="18"/>
        <v>11852994775919.156</v>
      </c>
      <c r="AB26">
        <f t="shared" si="18"/>
        <v>11890641079342.207</v>
      </c>
      <c r="AC26">
        <f t="shared" si="18"/>
        <v>11789931263142.236</v>
      </c>
      <c r="AD26">
        <f t="shared" si="18"/>
        <v>11721974451142.303</v>
      </c>
      <c r="AE26">
        <f t="shared" si="18"/>
        <v>11028207982243.957</v>
      </c>
      <c r="AF26">
        <f t="shared" si="18"/>
        <v>10479265726057.529</v>
      </c>
      <c r="AG26">
        <f t="shared" si="18"/>
        <v>10681804358925.887</v>
      </c>
      <c r="AH26">
        <f t="shared" si="18"/>
        <v>10501637984577.174</v>
      </c>
      <c r="AI26">
        <f t="shared" si="18"/>
        <v>10270888201556.941</v>
      </c>
      <c r="AJ26">
        <f t="shared" si="18"/>
        <v>10462901383473.303</v>
      </c>
      <c r="AK26">
        <f t="shared" si="18"/>
        <v>10543900749425.926</v>
      </c>
      <c r="AL26">
        <f t="shared" si="18"/>
        <v>10768275269303.432</v>
      </c>
      <c r="AM26">
        <f t="shared" si="18"/>
        <v>10898617219705.875</v>
      </c>
      <c r="AN26">
        <f t="shared" si="18"/>
        <v>10999244550779.82</v>
      </c>
      <c r="AQ26">
        <v>2027</v>
      </c>
      <c r="AR26">
        <v>336609405.95662701</v>
      </c>
      <c r="AT26">
        <f t="shared" si="6"/>
        <v>88647.582475977106</v>
      </c>
      <c r="AV26">
        <f t="shared" si="11"/>
        <v>-3.9359522031720074E-3</v>
      </c>
      <c r="AW26">
        <f t="shared" si="7"/>
        <v>0.10226158755352407</v>
      </c>
      <c r="AY26">
        <f t="shared" si="12"/>
        <v>-6.2933192413652944E-3</v>
      </c>
      <c r="AZ26">
        <f t="shared" si="8"/>
        <v>0.22419972889678241</v>
      </c>
      <c r="BB26">
        <f t="shared" si="13"/>
        <v>-4.6775380944572504E-3</v>
      </c>
      <c r="BC26">
        <f t="shared" si="9"/>
        <v>0.33733979045077228</v>
      </c>
      <c r="BE26">
        <f t="shared" si="14"/>
        <v>1.4906809538994157E-2</v>
      </c>
      <c r="BF26">
        <f t="shared" si="10"/>
        <v>0.3361988930989171</v>
      </c>
      <c r="BH26">
        <f t="shared" si="4"/>
        <v>14466123547.071398</v>
      </c>
    </row>
    <row r="27" spans="1:60" x14ac:dyDescent="0.3">
      <c r="A27" t="s">
        <v>6</v>
      </c>
      <c r="B27" t="s">
        <v>5</v>
      </c>
      <c r="C27">
        <f>C26*870</f>
        <v>8709571802604155</v>
      </c>
      <c r="D27">
        <f t="shared" ref="D27:AN27" si="19">D26*870</f>
        <v>8131219521567688</v>
      </c>
      <c r="E27">
        <f t="shared" si="19"/>
        <v>7699730258736083</v>
      </c>
      <c r="F27">
        <f t="shared" si="19"/>
        <v>7657386576749772</v>
      </c>
      <c r="G27">
        <f t="shared" si="19"/>
        <v>7913185576650417</v>
      </c>
      <c r="H27">
        <f t="shared" si="19"/>
        <v>7883433773434716</v>
      </c>
      <c r="I27">
        <f t="shared" si="19"/>
        <v>8212785229699237</v>
      </c>
      <c r="J27">
        <f t="shared" si="19"/>
        <v>8385248104585594</v>
      </c>
      <c r="K27">
        <f t="shared" si="19"/>
        <v>8731071299659841</v>
      </c>
      <c r="L27">
        <f t="shared" si="19"/>
        <v>8729074312822508</v>
      </c>
      <c r="M27">
        <f t="shared" si="19"/>
        <v>8557710200788169</v>
      </c>
      <c r="N27">
        <f t="shared" si="19"/>
        <v>8379039571562821</v>
      </c>
      <c r="O27">
        <f t="shared" si="19"/>
        <v>8554620993929404</v>
      </c>
      <c r="P27">
        <f t="shared" si="19"/>
        <v>8588789837318635</v>
      </c>
      <c r="Q27">
        <f t="shared" si="19"/>
        <v>8812537145038006</v>
      </c>
      <c r="R27">
        <f t="shared" si="19"/>
        <v>8785929485918521</v>
      </c>
      <c r="S27">
        <f t="shared" si="19"/>
        <v>9095628334673180</v>
      </c>
      <c r="T27">
        <f t="shared" si="19"/>
        <v>9222755994280232</v>
      </c>
      <c r="U27">
        <f t="shared" si="19"/>
        <v>9392533760436830</v>
      </c>
      <c r="V27">
        <f t="shared" si="19"/>
        <v>9651843751952016</v>
      </c>
      <c r="W27">
        <f t="shared" si="19"/>
        <v>9763347852915412</v>
      </c>
      <c r="X27">
        <f t="shared" si="19"/>
        <v>9748257317601406</v>
      </c>
      <c r="Y27">
        <f t="shared" si="19"/>
        <v>9764253258435598</v>
      </c>
      <c r="Z27">
        <f t="shared" si="19"/>
        <v>9930776215098650</v>
      </c>
      <c r="AA27">
        <f t="shared" si="19"/>
        <v>1.0312105455049666E+16</v>
      </c>
      <c r="AB27">
        <f t="shared" si="19"/>
        <v>1.034485773902772E+16</v>
      </c>
      <c r="AC27">
        <f t="shared" si="19"/>
        <v>1.0257240198933746E+16</v>
      </c>
      <c r="AD27">
        <f t="shared" si="19"/>
        <v>1.0198117772493804E+16</v>
      </c>
      <c r="AE27">
        <f t="shared" si="19"/>
        <v>9594540944552242</v>
      </c>
      <c r="AF27">
        <f t="shared" si="19"/>
        <v>9116961181670050</v>
      </c>
      <c r="AG27">
        <f t="shared" si="19"/>
        <v>9293169792265522</v>
      </c>
      <c r="AH27">
        <f t="shared" si="19"/>
        <v>9136425046582142</v>
      </c>
      <c r="AI27">
        <f t="shared" si="19"/>
        <v>8935672735354539</v>
      </c>
      <c r="AJ27">
        <f t="shared" si="19"/>
        <v>9102724203621774</v>
      </c>
      <c r="AK27">
        <f t="shared" si="19"/>
        <v>9173193652000556</v>
      </c>
      <c r="AL27">
        <f t="shared" si="19"/>
        <v>9368399484293986</v>
      </c>
      <c r="AM27">
        <f t="shared" si="19"/>
        <v>9481796981144112</v>
      </c>
      <c r="AN27">
        <f t="shared" si="19"/>
        <v>9569342759178444</v>
      </c>
      <c r="AQ27">
        <v>2028</v>
      </c>
      <c r="AR27">
        <v>337805112.67736799</v>
      </c>
      <c r="AT27">
        <f t="shared" si="6"/>
        <v>88647.582475977106</v>
      </c>
      <c r="AV27">
        <f t="shared" si="11"/>
        <v>-3.9359522031720074E-3</v>
      </c>
      <c r="AW27">
        <f t="shared" si="7"/>
        <v>9.8325635350352061E-2</v>
      </c>
      <c r="AY27">
        <f t="shared" si="12"/>
        <v>-6.2933192413652944E-3</v>
      </c>
      <c r="AZ27">
        <f t="shared" si="8"/>
        <v>0.21790640965541713</v>
      </c>
      <c r="BB27">
        <f t="shared" si="13"/>
        <v>-4.6775380944572504E-3</v>
      </c>
      <c r="BC27">
        <f t="shared" si="9"/>
        <v>0.33266225235631502</v>
      </c>
      <c r="BE27">
        <f t="shared" si="14"/>
        <v>1.4906809538994157E-2</v>
      </c>
      <c r="BF27">
        <f t="shared" si="10"/>
        <v>0.35110570263791124</v>
      </c>
      <c r="BH27">
        <f t="shared" si="4"/>
        <v>14219106122.882509</v>
      </c>
    </row>
    <row r="28" spans="1:60" x14ac:dyDescent="0.3">
      <c r="B28" t="s">
        <v>10</v>
      </c>
      <c r="C28">
        <f>C27/C13*100</f>
        <v>56.686320418411817</v>
      </c>
      <c r="D28">
        <f t="shared" ref="D28:AN28" si="20">D27/D13*100</f>
        <v>54.692652704010015</v>
      </c>
      <c r="E28">
        <f t="shared" si="20"/>
        <v>54.540907534973584</v>
      </c>
      <c r="F28">
        <f t="shared" si="20"/>
        <v>54.276019654826001</v>
      </c>
      <c r="G28">
        <f t="shared" si="20"/>
        <v>53.368946821262462</v>
      </c>
      <c r="H28">
        <f t="shared" si="20"/>
        <v>53.147285837303393</v>
      </c>
      <c r="I28">
        <f t="shared" si="20"/>
        <v>54.837825317983466</v>
      </c>
      <c r="J28">
        <f t="shared" si="20"/>
        <v>54.179854082087154</v>
      </c>
      <c r="K28">
        <f t="shared" si="20"/>
        <v>54.055639651997268</v>
      </c>
      <c r="L28">
        <f t="shared" si="20"/>
        <v>53.394691171604528</v>
      </c>
      <c r="M28">
        <f t="shared" si="20"/>
        <v>52.801903803387226</v>
      </c>
      <c r="N28">
        <f t="shared" si="20"/>
        <v>52.272294392945831</v>
      </c>
      <c r="O28">
        <f t="shared" si="20"/>
        <v>52.422882611638563</v>
      </c>
      <c r="P28">
        <f t="shared" si="20"/>
        <v>51.705338392386558</v>
      </c>
      <c r="Q28">
        <f t="shared" si="20"/>
        <v>52.101804495695568</v>
      </c>
      <c r="R28">
        <f t="shared" si="20"/>
        <v>51.528521073667498</v>
      </c>
      <c r="S28">
        <f t="shared" si="20"/>
        <v>51.490903038085477</v>
      </c>
      <c r="T28">
        <f t="shared" si="20"/>
        <v>51.443465346187267</v>
      </c>
      <c r="U28">
        <f t="shared" si="20"/>
        <v>51.86090911163145</v>
      </c>
      <c r="V28">
        <f t="shared" si="20"/>
        <v>52.531626052646438</v>
      </c>
      <c r="W28">
        <f t="shared" si="20"/>
        <v>51.781191864496058</v>
      </c>
      <c r="X28">
        <f t="shared" si="20"/>
        <v>52.60948718154129</v>
      </c>
      <c r="Y28">
        <f t="shared" si="20"/>
        <v>52.408937380929274</v>
      </c>
      <c r="Z28">
        <f t="shared" si="20"/>
        <v>52.724261577017593</v>
      </c>
      <c r="AA28">
        <f t="shared" si="20"/>
        <v>53.513253975778987</v>
      </c>
      <c r="AB28">
        <f t="shared" si="20"/>
        <v>53.4506888097931</v>
      </c>
      <c r="AC28">
        <f t="shared" si="20"/>
        <v>53.608489301006855</v>
      </c>
      <c r="AD28">
        <f t="shared" si="20"/>
        <v>52.781294018096304</v>
      </c>
      <c r="AE28">
        <f t="shared" si="20"/>
        <v>51.472622390257072</v>
      </c>
      <c r="AF28">
        <f t="shared" si="20"/>
        <v>52.504643236066862</v>
      </c>
      <c r="AG28">
        <f t="shared" si="20"/>
        <v>51.64496307187644</v>
      </c>
      <c r="AH28">
        <f t="shared" si="20"/>
        <v>52.03598777246129</v>
      </c>
      <c r="AI28">
        <f t="shared" si="20"/>
        <v>53.03401150834803</v>
      </c>
      <c r="AJ28">
        <f t="shared" si="20"/>
        <v>52.659826931201927</v>
      </c>
      <c r="AK28">
        <f t="shared" si="20"/>
        <v>52.680129214588902</v>
      </c>
      <c r="AL28">
        <f t="shared" si="20"/>
        <v>55.047742797327018</v>
      </c>
      <c r="AM28">
        <f t="shared" si="20"/>
        <v>56.468429456323754</v>
      </c>
      <c r="AN28">
        <f t="shared" si="20"/>
        <v>57.179095688984795</v>
      </c>
      <c r="AQ28">
        <v>2029</v>
      </c>
      <c r="AR28">
        <v>338934639.49651498</v>
      </c>
      <c r="AT28">
        <f t="shared" si="6"/>
        <v>88647.582475977106</v>
      </c>
      <c r="AV28">
        <f t="shared" si="11"/>
        <v>-3.9359522031720074E-3</v>
      </c>
      <c r="AW28">
        <f t="shared" si="7"/>
        <v>9.4389683147180048E-2</v>
      </c>
      <c r="AY28">
        <f t="shared" si="12"/>
        <v>-6.2933192413652944E-3</v>
      </c>
      <c r="AZ28">
        <f t="shared" si="8"/>
        <v>0.21161309041405185</v>
      </c>
      <c r="BB28">
        <f t="shared" si="13"/>
        <v>-4.6775380944572504E-3</v>
      </c>
      <c r="BC28">
        <f t="shared" si="9"/>
        <v>0.32798471426185777</v>
      </c>
      <c r="BE28">
        <f t="shared" si="14"/>
        <v>1.4906809538994157E-2</v>
      </c>
      <c r="BF28">
        <f t="shared" si="10"/>
        <v>0.36601251217690539</v>
      </c>
      <c r="BH28">
        <f t="shared" si="4"/>
        <v>13967248990.165756</v>
      </c>
    </row>
    <row r="29" spans="1:60" x14ac:dyDescent="0.3">
      <c r="AQ29">
        <v>2030</v>
      </c>
      <c r="AR29">
        <v>340000584.79817998</v>
      </c>
      <c r="AT29">
        <f t="shared" si="6"/>
        <v>88647.582475977106</v>
      </c>
      <c r="AV29">
        <f t="shared" si="11"/>
        <v>-3.9359522031720074E-3</v>
      </c>
      <c r="AW29">
        <f t="shared" si="7"/>
        <v>9.0453730944008034E-2</v>
      </c>
      <c r="AY29">
        <f t="shared" si="12"/>
        <v>-6.2933192413652944E-3</v>
      </c>
      <c r="AZ29">
        <f t="shared" si="8"/>
        <v>0.20531977117268657</v>
      </c>
      <c r="BB29">
        <f t="shared" si="13"/>
        <v>-4.6775380944572504E-3</v>
      </c>
      <c r="BC29">
        <f t="shared" si="9"/>
        <v>0.32330717616740051</v>
      </c>
      <c r="BE29">
        <f t="shared" si="14"/>
        <v>1.4906809538994157E-2</v>
      </c>
      <c r="BF29">
        <f t="shared" si="10"/>
        <v>0.38091932171589954</v>
      </c>
      <c r="BH29">
        <f t="shared" si="4"/>
        <v>13710832313.496592</v>
      </c>
    </row>
    <row r="30" spans="1:60" x14ac:dyDescent="0.3">
      <c r="A30" t="s">
        <v>14</v>
      </c>
      <c r="B30" t="s">
        <v>1</v>
      </c>
      <c r="C30">
        <v>8.2038793769999998</v>
      </c>
      <c r="D30">
        <v>8.5116849800000001</v>
      </c>
      <c r="E30">
        <v>9.1700214510000002</v>
      </c>
      <c r="F30">
        <v>9.7678246909999995</v>
      </c>
      <c r="G30">
        <v>10.070926182999999</v>
      </c>
      <c r="H30">
        <v>10.233375208</v>
      </c>
      <c r="I30">
        <v>10.536552090000001</v>
      </c>
      <c r="J30">
        <v>10.472984388</v>
      </c>
      <c r="K30">
        <v>11.121177726999999</v>
      </c>
      <c r="L30">
        <v>11.833170769000001</v>
      </c>
      <c r="M30">
        <v>12.093594989</v>
      </c>
      <c r="N30">
        <v>12.493055662</v>
      </c>
      <c r="O30">
        <v>12.337534133</v>
      </c>
      <c r="P30">
        <v>12.516482187999999</v>
      </c>
      <c r="Q30">
        <v>12.782909109</v>
      </c>
      <c r="R30">
        <v>13.712398240000001</v>
      </c>
      <c r="S30">
        <v>14.174869419</v>
      </c>
      <c r="T30">
        <v>13.667197034000001</v>
      </c>
      <c r="U30">
        <v>13.596675886</v>
      </c>
      <c r="V30">
        <v>14.158194915999999</v>
      </c>
      <c r="W30">
        <v>14.006841555999999</v>
      </c>
      <c r="X30">
        <v>13.144215032</v>
      </c>
      <c r="Y30">
        <v>13.825891882000001</v>
      </c>
      <c r="Z30">
        <v>13.734670738</v>
      </c>
      <c r="AA30">
        <v>14.169005514</v>
      </c>
      <c r="AB30">
        <v>14.167108269</v>
      </c>
      <c r="AC30">
        <v>14.476717845</v>
      </c>
      <c r="AD30">
        <v>14.484091233999999</v>
      </c>
      <c r="AE30">
        <v>14.893503866</v>
      </c>
      <c r="AF30">
        <v>15.078322764999999</v>
      </c>
      <c r="AG30">
        <v>15.660299284000001</v>
      </c>
      <c r="AH30">
        <v>16.404823015000002</v>
      </c>
      <c r="AI30">
        <v>15.867573969</v>
      </c>
      <c r="AJ30">
        <v>16.572614378000001</v>
      </c>
      <c r="AK30">
        <v>16.917786477</v>
      </c>
      <c r="AL30">
        <v>16.894752007000001</v>
      </c>
      <c r="AM30">
        <v>17.520053809</v>
      </c>
      <c r="AN30">
        <v>18.284109768</v>
      </c>
      <c r="AQ30">
        <v>2031</v>
      </c>
      <c r="AR30">
        <v>341003482.86238003</v>
      </c>
      <c r="AT30">
        <f t="shared" si="6"/>
        <v>88647.582475977106</v>
      </c>
      <c r="AV30">
        <f t="shared" si="11"/>
        <v>-3.9359522031720074E-3</v>
      </c>
      <c r="AW30">
        <f t="shared" si="7"/>
        <v>8.6517778740836021E-2</v>
      </c>
      <c r="AY30">
        <f t="shared" si="12"/>
        <v>-6.2933192413652944E-3</v>
      </c>
      <c r="AZ30">
        <f t="shared" si="8"/>
        <v>0.19902645193132129</v>
      </c>
      <c r="BB30">
        <f t="shared" si="13"/>
        <v>-4.6775380944572504E-3</v>
      </c>
      <c r="BC30">
        <f t="shared" si="9"/>
        <v>0.31862963807294326</v>
      </c>
      <c r="BE30">
        <f t="shared" si="14"/>
        <v>1.4906809538994157E-2</v>
      </c>
      <c r="BF30">
        <f t="shared" si="10"/>
        <v>0.39582613125489369</v>
      </c>
      <c r="BH30">
        <f t="shared" si="4"/>
        <v>13450045662.676804</v>
      </c>
    </row>
    <row r="31" spans="1:60" x14ac:dyDescent="0.3">
      <c r="B31" t="s">
        <v>4</v>
      </c>
      <c r="C31">
        <f>C30*0.000293071*10^15</f>
        <v>2404319132896.7666</v>
      </c>
      <c r="D31">
        <f t="shared" ref="D31:AN31" si="21">D30*0.000293071*10^15</f>
        <v>2494528028773.5801</v>
      </c>
      <c r="E31">
        <f t="shared" si="21"/>
        <v>2687467356666.021</v>
      </c>
      <c r="F31">
        <f t="shared" si="21"/>
        <v>2862666150016.061</v>
      </c>
      <c r="G31">
        <f t="shared" si="21"/>
        <v>2951496407377.9932</v>
      </c>
      <c r="H31">
        <f t="shared" si="21"/>
        <v>2999105505583.7681</v>
      </c>
      <c r="I31">
        <f t="shared" si="21"/>
        <v>3087957857568.3901</v>
      </c>
      <c r="J31">
        <f t="shared" si="21"/>
        <v>3069328007575.5483</v>
      </c>
      <c r="K31">
        <f t="shared" si="21"/>
        <v>3259294677629.6167</v>
      </c>
      <c r="L31">
        <f t="shared" si="21"/>
        <v>3467959190441.5991</v>
      </c>
      <c r="M31">
        <f t="shared" si="21"/>
        <v>3544281977021.2188</v>
      </c>
      <c r="N31">
        <f t="shared" si="21"/>
        <v>3661352315918.002</v>
      </c>
      <c r="O31">
        <f t="shared" si="21"/>
        <v>3615773465892.4434</v>
      </c>
      <c r="P31">
        <f t="shared" si="21"/>
        <v>3668217951319.3481</v>
      </c>
      <c r="Q31">
        <f t="shared" si="21"/>
        <v>3746299955483.7393</v>
      </c>
      <c r="R31">
        <f t="shared" si="21"/>
        <v>4018706264595.04</v>
      </c>
      <c r="S31">
        <f t="shared" si="21"/>
        <v>4154243155495.749</v>
      </c>
      <c r="T31">
        <f t="shared" si="21"/>
        <v>4005459101951.4146</v>
      </c>
      <c r="U31">
        <f t="shared" si="21"/>
        <v>3984791398585.9063</v>
      </c>
      <c r="V31">
        <f t="shared" si="21"/>
        <v>4149356342227.0356</v>
      </c>
      <c r="W31">
        <f t="shared" si="21"/>
        <v>4104999061658.4761</v>
      </c>
      <c r="X31">
        <f t="shared" si="21"/>
        <v>3852188243643.272</v>
      </c>
      <c r="Y31">
        <f t="shared" si="21"/>
        <v>4051967959749.6221</v>
      </c>
      <c r="Z31">
        <f t="shared" si="21"/>
        <v>4025233687856.3979</v>
      </c>
      <c r="AA31">
        <f t="shared" si="21"/>
        <v>4152524614993.4941</v>
      </c>
      <c r="AB31">
        <f t="shared" si="21"/>
        <v>4151968587504.0991</v>
      </c>
      <c r="AC31">
        <f t="shared" si="21"/>
        <v>4242706175551.9946</v>
      </c>
      <c r="AD31">
        <f t="shared" si="21"/>
        <v>4244867102039.6138</v>
      </c>
      <c r="AE31">
        <f t="shared" si="21"/>
        <v>4364854071512.4858</v>
      </c>
      <c r="AF31">
        <f t="shared" si="21"/>
        <v>4419019131061.3154</v>
      </c>
      <c r="AG31">
        <f t="shared" si="21"/>
        <v>4589579571461.1641</v>
      </c>
      <c r="AH31">
        <f t="shared" si="21"/>
        <v>4807777885829.0654</v>
      </c>
      <c r="AI31">
        <f t="shared" si="21"/>
        <v>4650325770668.7988</v>
      </c>
      <c r="AJ31">
        <f t="shared" si="21"/>
        <v>4856952668374.8389</v>
      </c>
      <c r="AK31">
        <f t="shared" si="21"/>
        <v>4958112600600.8662</v>
      </c>
      <c r="AL31">
        <f t="shared" si="21"/>
        <v>4951361865443.498</v>
      </c>
      <c r="AM31">
        <f t="shared" si="21"/>
        <v>5134619689857.4395</v>
      </c>
      <c r="AN31">
        <f t="shared" si="21"/>
        <v>5358542333817.5283</v>
      </c>
      <c r="AQ31">
        <v>2032</v>
      </c>
      <c r="AR31">
        <v>341965317.10498703</v>
      </c>
      <c r="AT31">
        <f t="shared" si="6"/>
        <v>88647.582475977106</v>
      </c>
      <c r="AV31">
        <f t="shared" si="11"/>
        <v>-3.9359522031720074E-3</v>
      </c>
      <c r="AW31">
        <f t="shared" si="7"/>
        <v>8.2581826537664008E-2</v>
      </c>
      <c r="AY31">
        <f t="shared" si="12"/>
        <v>-6.2933192413652944E-3</v>
      </c>
      <c r="AZ31">
        <f t="shared" si="8"/>
        <v>0.19273313268995601</v>
      </c>
      <c r="BB31">
        <f t="shared" si="13"/>
        <v>-4.6775380944572504E-3</v>
      </c>
      <c r="BC31">
        <f t="shared" si="9"/>
        <v>0.313952099978486</v>
      </c>
      <c r="BE31">
        <f t="shared" si="14"/>
        <v>1.4906809538994157E-2</v>
      </c>
      <c r="BF31">
        <f t="shared" si="10"/>
        <v>0.41073294079388784</v>
      </c>
      <c r="BH31">
        <f t="shared" si="4"/>
        <v>13185903780.84654</v>
      </c>
    </row>
    <row r="32" spans="1:60" x14ac:dyDescent="0.3">
      <c r="A32" t="s">
        <v>7</v>
      </c>
      <c r="B32" t="s">
        <v>5</v>
      </c>
      <c r="C32">
        <f>C31*20</f>
        <v>48086382657935.328</v>
      </c>
      <c r="D32">
        <f t="shared" ref="D32:AN32" si="22">D31*20</f>
        <v>49890560575471.602</v>
      </c>
      <c r="E32">
        <f t="shared" si="22"/>
        <v>53749347133320.422</v>
      </c>
      <c r="F32">
        <f t="shared" si="22"/>
        <v>57253323000321.219</v>
      </c>
      <c r="G32">
        <f t="shared" si="22"/>
        <v>59029928147559.859</v>
      </c>
      <c r="H32">
        <f t="shared" si="22"/>
        <v>59982110111675.359</v>
      </c>
      <c r="I32">
        <f t="shared" si="22"/>
        <v>61759157151367.805</v>
      </c>
      <c r="J32">
        <f t="shared" si="22"/>
        <v>61386560151510.969</v>
      </c>
      <c r="K32">
        <f t="shared" si="22"/>
        <v>65185893552592.336</v>
      </c>
      <c r="L32">
        <f t="shared" si="22"/>
        <v>69359183808831.984</v>
      </c>
      <c r="M32">
        <f t="shared" si="22"/>
        <v>70885639540424.375</v>
      </c>
      <c r="N32">
        <f t="shared" si="22"/>
        <v>73227046318360.031</v>
      </c>
      <c r="O32">
        <f t="shared" si="22"/>
        <v>72315469317848.875</v>
      </c>
      <c r="P32">
        <f t="shared" si="22"/>
        <v>73364359026386.969</v>
      </c>
      <c r="Q32">
        <f t="shared" si="22"/>
        <v>74925999109674.781</v>
      </c>
      <c r="R32">
        <f t="shared" si="22"/>
        <v>80374125291900.797</v>
      </c>
      <c r="S32">
        <f t="shared" si="22"/>
        <v>83084863109914.984</v>
      </c>
      <c r="T32">
        <f t="shared" si="22"/>
        <v>80109182039028.297</v>
      </c>
      <c r="U32">
        <f t="shared" si="22"/>
        <v>79695827971718.125</v>
      </c>
      <c r="V32">
        <f t="shared" si="22"/>
        <v>82987126844540.719</v>
      </c>
      <c r="W32">
        <f t="shared" si="22"/>
        <v>82099981233169.516</v>
      </c>
      <c r="X32">
        <f t="shared" si="22"/>
        <v>77043764872865.438</v>
      </c>
      <c r="Y32">
        <f t="shared" si="22"/>
        <v>81039359194992.438</v>
      </c>
      <c r="Z32">
        <f t="shared" si="22"/>
        <v>80504673757127.953</v>
      </c>
      <c r="AA32">
        <f t="shared" si="22"/>
        <v>83050492299869.875</v>
      </c>
      <c r="AB32">
        <f t="shared" si="22"/>
        <v>83039371750081.984</v>
      </c>
      <c r="AC32">
        <f t="shared" si="22"/>
        <v>84854123511039.891</v>
      </c>
      <c r="AD32">
        <f t="shared" si="22"/>
        <v>84897342040792.281</v>
      </c>
      <c r="AE32">
        <f t="shared" si="22"/>
        <v>87297081430249.719</v>
      </c>
      <c r="AF32">
        <f t="shared" si="22"/>
        <v>88380382621226.313</v>
      </c>
      <c r="AG32">
        <f t="shared" si="22"/>
        <v>91791591429223.281</v>
      </c>
      <c r="AH32">
        <f t="shared" si="22"/>
        <v>96155557716581.313</v>
      </c>
      <c r="AI32">
        <f t="shared" si="22"/>
        <v>93006515413375.969</v>
      </c>
      <c r="AJ32">
        <f t="shared" si="22"/>
        <v>97139053367496.781</v>
      </c>
      <c r="AK32">
        <f t="shared" si="22"/>
        <v>99162252012017.328</v>
      </c>
      <c r="AL32">
        <f t="shared" si="22"/>
        <v>99027237308869.969</v>
      </c>
      <c r="AM32">
        <f t="shared" si="22"/>
        <v>102692393797148.78</v>
      </c>
      <c r="AN32">
        <f t="shared" si="22"/>
        <v>107170846676350.56</v>
      </c>
      <c r="AQ32">
        <v>2033</v>
      </c>
      <c r="AR32">
        <v>342896212.54155701</v>
      </c>
      <c r="AT32">
        <f t="shared" si="6"/>
        <v>88647.582475977106</v>
      </c>
      <c r="AV32">
        <f t="shared" si="11"/>
        <v>-3.9359522031720074E-3</v>
      </c>
      <c r="AW32">
        <f t="shared" si="7"/>
        <v>7.8645874334491994E-2</v>
      </c>
      <c r="AY32">
        <f t="shared" si="12"/>
        <v>-6.2933192413652944E-3</v>
      </c>
      <c r="AZ32">
        <f t="shared" si="8"/>
        <v>0.18643981344859073</v>
      </c>
      <c r="BB32">
        <f t="shared" si="13"/>
        <v>-4.6775380944572504E-3</v>
      </c>
      <c r="BC32">
        <f t="shared" si="9"/>
        <v>0.30927456188402874</v>
      </c>
      <c r="BE32">
        <f t="shared" si="14"/>
        <v>1.4906809538994157E-2</v>
      </c>
      <c r="BF32">
        <f t="shared" si="10"/>
        <v>0.42563975033288198</v>
      </c>
      <c r="BH32">
        <f t="shared" si="4"/>
        <v>12918896958.923437</v>
      </c>
    </row>
    <row r="33" spans="2:60" x14ac:dyDescent="0.3">
      <c r="B33" t="s">
        <v>10</v>
      </c>
      <c r="C33">
        <f>C32/C13*100</f>
        <v>0.3129706209316811</v>
      </c>
      <c r="D33">
        <f t="shared" ref="D33:AN33" si="23">D32/D13*100</f>
        <v>0.3355766125271899</v>
      </c>
      <c r="E33">
        <f t="shared" si="23"/>
        <v>0.38073258069495552</v>
      </c>
      <c r="F33">
        <f t="shared" si="23"/>
        <v>0.40581501969677591</v>
      </c>
      <c r="G33">
        <f t="shared" si="23"/>
        <v>0.39811591244187511</v>
      </c>
      <c r="H33">
        <f t="shared" si="23"/>
        <v>0.40437789456318257</v>
      </c>
      <c r="I33">
        <f t="shared" si="23"/>
        <v>0.4123738508837913</v>
      </c>
      <c r="J33">
        <f t="shared" si="23"/>
        <v>0.39663881499121129</v>
      </c>
      <c r="K33">
        <f t="shared" si="23"/>
        <v>0.40357764257516299</v>
      </c>
      <c r="L33">
        <f t="shared" si="23"/>
        <v>0.42426173345174029</v>
      </c>
      <c r="M33">
        <f t="shared" si="23"/>
        <v>0.43737128650492829</v>
      </c>
      <c r="N33">
        <f t="shared" si="23"/>
        <v>0.45682392235859326</v>
      </c>
      <c r="O33">
        <f t="shared" si="23"/>
        <v>0.4431505921472535</v>
      </c>
      <c r="P33">
        <f t="shared" si="23"/>
        <v>0.44166047618463217</v>
      </c>
      <c r="Q33">
        <f t="shared" si="23"/>
        <v>0.44298023293496136</v>
      </c>
      <c r="R33">
        <f t="shared" si="23"/>
        <v>0.47138550514423178</v>
      </c>
      <c r="S33">
        <f t="shared" si="23"/>
        <v>0.47034844355026706</v>
      </c>
      <c r="T33">
        <f t="shared" si="23"/>
        <v>0.4468397442903162</v>
      </c>
      <c r="U33">
        <f t="shared" si="23"/>
        <v>0.44004080224091369</v>
      </c>
      <c r="V33">
        <f t="shared" si="23"/>
        <v>0.45167004632656665</v>
      </c>
      <c r="W33">
        <f t="shared" si="23"/>
        <v>0.43542798478053041</v>
      </c>
      <c r="X33">
        <f t="shared" si="23"/>
        <v>0.41579051808349354</v>
      </c>
      <c r="Y33">
        <f t="shared" si="23"/>
        <v>0.43497301729364063</v>
      </c>
      <c r="Z33">
        <f t="shared" si="23"/>
        <v>0.42741366690852511</v>
      </c>
      <c r="AA33">
        <f t="shared" si="23"/>
        <v>0.43097911543176787</v>
      </c>
      <c r="AB33">
        <f t="shared" si="23"/>
        <v>0.42905487251210067</v>
      </c>
      <c r="AC33">
        <f t="shared" si="23"/>
        <v>0.44348199751242645</v>
      </c>
      <c r="AD33">
        <f t="shared" si="23"/>
        <v>0.43939398147528774</v>
      </c>
      <c r="AE33">
        <f t="shared" si="23"/>
        <v>0.46832982778421667</v>
      </c>
      <c r="AF33">
        <f t="shared" si="23"/>
        <v>0.50898324190786381</v>
      </c>
      <c r="AG33">
        <f t="shared" si="23"/>
        <v>0.51011371315054088</v>
      </c>
      <c r="AH33">
        <f t="shared" si="23"/>
        <v>0.54764849490731671</v>
      </c>
      <c r="AI33">
        <f t="shared" si="23"/>
        <v>0.55200193145710852</v>
      </c>
      <c r="AJ33">
        <f t="shared" si="23"/>
        <v>0.56195547883982822</v>
      </c>
      <c r="AK33">
        <f t="shared" si="23"/>
        <v>0.56947236124939316</v>
      </c>
      <c r="AL33">
        <f t="shared" si="23"/>
        <v>0.58187376599892626</v>
      </c>
      <c r="AM33">
        <f t="shared" si="23"/>
        <v>0.61158008406710251</v>
      </c>
      <c r="AN33">
        <f t="shared" si="23"/>
        <v>0.64037126178795878</v>
      </c>
      <c r="AQ33">
        <v>2034</v>
      </c>
      <c r="AR33">
        <v>343812840.16868901</v>
      </c>
      <c r="AT33">
        <f t="shared" si="6"/>
        <v>88647.582475977106</v>
      </c>
      <c r="AV33">
        <f t="shared" si="11"/>
        <v>-3.9359522031720074E-3</v>
      </c>
      <c r="AW33">
        <f t="shared" si="7"/>
        <v>7.4709922131319981E-2</v>
      </c>
      <c r="AY33">
        <f t="shared" si="12"/>
        <v>-6.2933192413652944E-3</v>
      </c>
      <c r="AZ33">
        <f t="shared" si="8"/>
        <v>0.18014649420722545</v>
      </c>
      <c r="BB33">
        <f t="shared" si="13"/>
        <v>-4.6775380944572504E-3</v>
      </c>
      <c r="BC33">
        <f t="shared" si="9"/>
        <v>0.30459702378957149</v>
      </c>
      <c r="BE33">
        <f t="shared" si="14"/>
        <v>1.4906809538994157E-2</v>
      </c>
      <c r="BF33">
        <f t="shared" si="10"/>
        <v>0.44054655987187613</v>
      </c>
      <c r="BH33">
        <f t="shared" si="4"/>
        <v>12649720554.373196</v>
      </c>
    </row>
    <row r="34" spans="2:60" x14ac:dyDescent="0.3">
      <c r="AQ34">
        <v>2035</v>
      </c>
      <c r="AR34">
        <v>344729669.27251899</v>
      </c>
      <c r="AT34">
        <f t="shared" si="6"/>
        <v>88647.582475977106</v>
      </c>
      <c r="AV34">
        <f t="shared" si="11"/>
        <v>-3.9359522031720074E-3</v>
      </c>
      <c r="AW34">
        <f t="shared" si="7"/>
        <v>7.0773969928147967E-2</v>
      </c>
      <c r="AY34">
        <f t="shared" si="12"/>
        <v>-6.2933192413652944E-3</v>
      </c>
      <c r="AZ34">
        <f t="shared" si="8"/>
        <v>0.17385317496586017</v>
      </c>
      <c r="BB34">
        <f t="shared" si="13"/>
        <v>-4.6775380944572504E-3</v>
      </c>
      <c r="BC34">
        <f t="shared" si="9"/>
        <v>0.29991948569511423</v>
      </c>
      <c r="BE34">
        <f t="shared" si="14"/>
        <v>1.4906809538994157E-2</v>
      </c>
      <c r="BF34">
        <f t="shared" si="10"/>
        <v>0.45545336941087028</v>
      </c>
      <c r="BH34">
        <f t="shared" si="4"/>
        <v>12378931957.140198</v>
      </c>
    </row>
    <row r="35" spans="2:60" x14ac:dyDescent="0.3">
      <c r="AQ35">
        <v>2036</v>
      </c>
      <c r="AR35">
        <v>345631046.97488898</v>
      </c>
      <c r="AT35">
        <f t="shared" si="6"/>
        <v>88647.582475977106</v>
      </c>
      <c r="AV35">
        <f t="shared" si="11"/>
        <v>-3.9359522031720074E-3</v>
      </c>
      <c r="AW35">
        <f t="shared" si="7"/>
        <v>6.6838017724975954E-2</v>
      </c>
      <c r="AY35">
        <f t="shared" si="12"/>
        <v>-6.2933192413652944E-3</v>
      </c>
      <c r="AZ35">
        <f t="shared" si="8"/>
        <v>0.16755985572449489</v>
      </c>
      <c r="BB35">
        <f t="shared" si="13"/>
        <v>-4.6775380944572504E-3</v>
      </c>
      <c r="BC35">
        <f t="shared" si="9"/>
        <v>0.29524194760065697</v>
      </c>
      <c r="BE35">
        <f t="shared" si="14"/>
        <v>1.4906809538994157E-2</v>
      </c>
      <c r="BF35">
        <f t="shared" si="10"/>
        <v>0.47036017894986443</v>
      </c>
      <c r="BH35">
        <f t="shared" si="4"/>
        <v>12105982379.689999</v>
      </c>
    </row>
    <row r="36" spans="2:60" x14ac:dyDescent="0.3">
      <c r="AQ36">
        <v>2037</v>
      </c>
      <c r="AR36">
        <v>346503904.203471</v>
      </c>
      <c r="AT36">
        <f t="shared" si="6"/>
        <v>88647.582475977106</v>
      </c>
      <c r="AV36">
        <f t="shared" si="11"/>
        <v>-3.9359522031720074E-3</v>
      </c>
      <c r="AW36">
        <f t="shared" si="7"/>
        <v>6.290206552180394E-2</v>
      </c>
      <c r="AY36">
        <f t="shared" si="12"/>
        <v>-6.2933192413652944E-3</v>
      </c>
      <c r="AZ36">
        <f t="shared" si="8"/>
        <v>0.16126653648312961</v>
      </c>
      <c r="BB36">
        <f t="shared" si="13"/>
        <v>-4.6775380944572504E-3</v>
      </c>
      <c r="BC36">
        <f t="shared" si="9"/>
        <v>0.29056440950619972</v>
      </c>
      <c r="BE36">
        <f t="shared" si="14"/>
        <v>1.4906809538994157E-2</v>
      </c>
      <c r="BF36">
        <f t="shared" si="10"/>
        <v>0.48526698848885857</v>
      </c>
      <c r="BH36">
        <f t="shared" si="4"/>
        <v>11830466560.372139</v>
      </c>
    </row>
    <row r="37" spans="2:60" x14ac:dyDescent="0.3">
      <c r="AQ37">
        <v>2038</v>
      </c>
      <c r="AR37">
        <v>347323969.02367097</v>
      </c>
      <c r="AT37">
        <f t="shared" si="6"/>
        <v>88647.582475977106</v>
      </c>
      <c r="AV37">
        <f t="shared" si="11"/>
        <v>-3.9359522031720074E-3</v>
      </c>
      <c r="AW37">
        <f t="shared" si="7"/>
        <v>5.8966113318631934E-2</v>
      </c>
      <c r="AY37">
        <f t="shared" si="12"/>
        <v>-6.2933192413652944E-3</v>
      </c>
      <c r="AZ37">
        <f t="shared" si="8"/>
        <v>0.15497321724176433</v>
      </c>
      <c r="BB37">
        <f t="shared" si="13"/>
        <v>-4.6775380944572504E-3</v>
      </c>
      <c r="BC37">
        <f t="shared" si="9"/>
        <v>0.28588687141174246</v>
      </c>
      <c r="BE37">
        <f t="shared" si="14"/>
        <v>1.4906809538994157E-2</v>
      </c>
      <c r="BF37">
        <f t="shared" si="10"/>
        <v>0.50017379802785278</v>
      </c>
      <c r="BH37">
        <f t="shared" si="4"/>
        <v>11551652820.254147</v>
      </c>
    </row>
    <row r="38" spans="2:60" x14ac:dyDescent="0.3">
      <c r="AQ38">
        <v>2039</v>
      </c>
      <c r="AR38">
        <v>348069052.93074101</v>
      </c>
      <c r="AT38">
        <f t="shared" si="6"/>
        <v>88647.582475977106</v>
      </c>
      <c r="AV38">
        <f t="shared" si="11"/>
        <v>-3.9359522031720074E-3</v>
      </c>
      <c r="AW38">
        <f t="shared" si="7"/>
        <v>5.5030161115459927E-2</v>
      </c>
      <c r="AY38">
        <f t="shared" si="12"/>
        <v>-6.2933192413652944E-3</v>
      </c>
      <c r="AZ38">
        <f t="shared" si="8"/>
        <v>0.14867989800039905</v>
      </c>
      <c r="BB38">
        <f t="shared" si="13"/>
        <v>-4.6775380944572504E-3</v>
      </c>
      <c r="BC38">
        <f t="shared" si="9"/>
        <v>0.2812093333172852</v>
      </c>
      <c r="BE38">
        <f t="shared" si="14"/>
        <v>1.4906809538994157E-2</v>
      </c>
      <c r="BF38">
        <f t="shared" si="10"/>
        <v>0.51508060756684693</v>
      </c>
      <c r="BH38">
        <f t="shared" si="4"/>
        <v>11268962696.396585</v>
      </c>
    </row>
    <row r="39" spans="2:60" x14ac:dyDescent="0.3">
      <c r="AQ39">
        <v>2040</v>
      </c>
      <c r="AR39">
        <v>348737131.44871998</v>
      </c>
      <c r="AT39">
        <f t="shared" si="6"/>
        <v>88647.582475977106</v>
      </c>
      <c r="AV39">
        <f t="shared" si="11"/>
        <v>-3.9359522031720074E-3</v>
      </c>
      <c r="AW39">
        <f t="shared" si="7"/>
        <v>5.1094208912287921E-2</v>
      </c>
      <c r="AY39">
        <f t="shared" si="12"/>
        <v>-6.2933192413652944E-3</v>
      </c>
      <c r="AZ39">
        <f t="shared" si="8"/>
        <v>0.14238657875903377</v>
      </c>
      <c r="BB39">
        <f t="shared" si="13"/>
        <v>-4.6775380944572504E-3</v>
      </c>
      <c r="BC39">
        <f t="shared" si="9"/>
        <v>0.27653179522282795</v>
      </c>
      <c r="BE39">
        <f t="shared" si="14"/>
        <v>1.4906809538994157E-2</v>
      </c>
      <c r="BF39">
        <f t="shared" si="10"/>
        <v>0.52998741710584107</v>
      </c>
      <c r="BH39">
        <f t="shared" si="4"/>
        <v>10982531139.220867</v>
      </c>
    </row>
    <row r="40" spans="2:60" x14ac:dyDescent="0.3">
      <c r="AQ40">
        <v>2041</v>
      </c>
      <c r="AR40">
        <v>349322186.18025202</v>
      </c>
      <c r="AT40">
        <f t="shared" si="6"/>
        <v>88647.582475977106</v>
      </c>
      <c r="AV40">
        <f t="shared" si="11"/>
        <v>-3.9359522031720074E-3</v>
      </c>
      <c r="AW40">
        <f t="shared" si="7"/>
        <v>4.7158256709115914E-2</v>
      </c>
      <c r="AY40">
        <f t="shared" si="12"/>
        <v>-6.2933192413652944E-3</v>
      </c>
      <c r="AZ40">
        <f t="shared" si="8"/>
        <v>0.13609325951766849</v>
      </c>
      <c r="BB40">
        <f t="shared" si="13"/>
        <v>-4.6775380944572504E-3</v>
      </c>
      <c r="BC40">
        <f t="shared" si="9"/>
        <v>0.27185425712837069</v>
      </c>
      <c r="BE40">
        <f t="shared" si="14"/>
        <v>1.4906809538994157E-2</v>
      </c>
      <c r="BF40">
        <f t="shared" si="10"/>
        <v>0.54489422664483522</v>
      </c>
      <c r="BH40">
        <f t="shared" si="4"/>
        <v>10692378002.870245</v>
      </c>
    </row>
    <row r="41" spans="2:60" x14ac:dyDescent="0.3">
      <c r="AQ41">
        <v>2042</v>
      </c>
      <c r="AR41">
        <v>349837774.91795701</v>
      </c>
      <c r="AT41">
        <f t="shared" si="6"/>
        <v>88647.582475977106</v>
      </c>
      <c r="AV41">
        <f t="shared" si="11"/>
        <v>-3.9359522031720074E-3</v>
      </c>
      <c r="AW41">
        <f t="shared" si="7"/>
        <v>4.3222304505943908E-2</v>
      </c>
      <c r="AY41">
        <f t="shared" si="12"/>
        <v>-6.2933192413652944E-3</v>
      </c>
      <c r="AZ41">
        <f t="shared" si="8"/>
        <v>0.12979994027630321</v>
      </c>
      <c r="BB41">
        <f t="shared" si="13"/>
        <v>-4.6775380944572504E-3</v>
      </c>
      <c r="BC41">
        <f t="shared" si="9"/>
        <v>0.26717671903391343</v>
      </c>
      <c r="BE41">
        <f t="shared" si="14"/>
        <v>1.4906809538994157E-2</v>
      </c>
      <c r="BF41">
        <f t="shared" si="10"/>
        <v>0.55980103618382937</v>
      </c>
      <c r="BH41">
        <f t="shared" si="4"/>
        <v>10399126320.52803</v>
      </c>
    </row>
    <row r="42" spans="2:60" x14ac:dyDescent="0.3">
      <c r="AQ42">
        <v>2043</v>
      </c>
      <c r="AR42">
        <v>350283148.36754203</v>
      </c>
      <c r="AT42">
        <f t="shared" si="6"/>
        <v>88647.582475977106</v>
      </c>
      <c r="AV42">
        <f t="shared" si="11"/>
        <v>-3.9359522031720074E-3</v>
      </c>
      <c r="AW42">
        <f t="shared" si="7"/>
        <v>3.9286352302771901E-2</v>
      </c>
      <c r="AY42">
        <f t="shared" si="12"/>
        <v>-6.2933192413652944E-3</v>
      </c>
      <c r="AZ42">
        <f t="shared" si="8"/>
        <v>0.12350662103493791</v>
      </c>
      <c r="BB42">
        <f t="shared" si="13"/>
        <v>-4.6775380944572504E-3</v>
      </c>
      <c r="BC42">
        <f t="shared" si="9"/>
        <v>0.26249918093945618</v>
      </c>
      <c r="BE42">
        <f t="shared" si="14"/>
        <v>1.4906809538994157E-2</v>
      </c>
      <c r="BF42">
        <f t="shared" si="10"/>
        <v>0.57470784572282352</v>
      </c>
      <c r="BH42">
        <f t="shared" si="4"/>
        <v>10102938571.695246</v>
      </c>
    </row>
    <row r="43" spans="2:60" x14ac:dyDescent="0.3">
      <c r="AQ43">
        <v>2044</v>
      </c>
      <c r="AR43">
        <v>350675581.723961</v>
      </c>
      <c r="AT43">
        <f t="shared" si="6"/>
        <v>88647.582475977106</v>
      </c>
      <c r="AV43">
        <f t="shared" si="11"/>
        <v>-3.9359522031720074E-3</v>
      </c>
      <c r="AW43">
        <f t="shared" si="7"/>
        <v>3.5350400099599895E-2</v>
      </c>
      <c r="AY43">
        <f t="shared" si="12"/>
        <v>-6.2933192413652944E-3</v>
      </c>
      <c r="AZ43">
        <f t="shared" si="8"/>
        <v>0.11721330179357262</v>
      </c>
      <c r="BB43">
        <f t="shared" si="13"/>
        <v>-4.6775380944572504E-3</v>
      </c>
      <c r="BC43">
        <f t="shared" si="9"/>
        <v>0.25782164284499892</v>
      </c>
      <c r="BE43">
        <f t="shared" si="14"/>
        <v>1.4906809538994157E-2</v>
      </c>
      <c r="BF43">
        <f t="shared" si="10"/>
        <v>0.58961465526181767</v>
      </c>
      <c r="BH43">
        <f t="shared" si="4"/>
        <v>9804483827.3446617</v>
      </c>
    </row>
    <row r="44" spans="2:60" x14ac:dyDescent="0.3">
      <c r="AQ44">
        <v>2045</v>
      </c>
      <c r="AR44">
        <v>351043445.48471898</v>
      </c>
      <c r="AT44">
        <f t="shared" si="6"/>
        <v>88647.582475977106</v>
      </c>
      <c r="AV44">
        <f t="shared" si="11"/>
        <v>-3.9359522031720074E-3</v>
      </c>
      <c r="AW44">
        <f t="shared" si="7"/>
        <v>3.1414447896427888E-2</v>
      </c>
      <c r="AY44">
        <f t="shared" si="12"/>
        <v>-6.2933192413652944E-3</v>
      </c>
      <c r="AZ44">
        <f t="shared" si="8"/>
        <v>0.11091998255220732</v>
      </c>
      <c r="BB44">
        <f t="shared" si="13"/>
        <v>-4.6775380944572504E-3</v>
      </c>
      <c r="BC44">
        <f t="shared" si="9"/>
        <v>0.25314410475054167</v>
      </c>
      <c r="BE44">
        <f t="shared" si="14"/>
        <v>1.4906809538994157E-2</v>
      </c>
      <c r="BF44">
        <f t="shared" si="10"/>
        <v>0.60452146480081181</v>
      </c>
      <c r="BH44">
        <f t="shared" si="4"/>
        <v>9504670528.1304913</v>
      </c>
    </row>
    <row r="45" spans="2:60" x14ac:dyDescent="0.3">
      <c r="AQ45">
        <v>2046</v>
      </c>
      <c r="AR45">
        <v>351413223.46973598</v>
      </c>
      <c r="AT45">
        <f t="shared" si="6"/>
        <v>88647.582475977106</v>
      </c>
      <c r="AV45">
        <f t="shared" si="11"/>
        <v>-3.9359522031720074E-3</v>
      </c>
      <c r="AW45">
        <f t="shared" si="7"/>
        <v>2.7478495693255882E-2</v>
      </c>
      <c r="AY45">
        <f t="shared" si="12"/>
        <v>-6.2933192413652944E-3</v>
      </c>
      <c r="AZ45">
        <f t="shared" si="8"/>
        <v>0.10462666331084203</v>
      </c>
      <c r="BB45">
        <f t="shared" si="13"/>
        <v>-4.6775380944572504E-3</v>
      </c>
      <c r="BC45">
        <f t="shared" si="9"/>
        <v>0.24846656665608441</v>
      </c>
      <c r="BE45">
        <f t="shared" si="14"/>
        <v>1.4906809538994157E-2</v>
      </c>
      <c r="BF45">
        <f t="shared" si="10"/>
        <v>0.61942827433980596</v>
      </c>
      <c r="BH45">
        <f t="shared" si="4"/>
        <v>9204257452.9737091</v>
      </c>
    </row>
    <row r="46" spans="2:60" x14ac:dyDescent="0.3">
      <c r="AQ46">
        <v>2047</v>
      </c>
      <c r="AR46">
        <v>351798962.62809199</v>
      </c>
      <c r="AT46">
        <f t="shared" si="6"/>
        <v>88647.582475977106</v>
      </c>
      <c r="AV46">
        <f t="shared" si="11"/>
        <v>-3.9359522031720074E-3</v>
      </c>
      <c r="AW46">
        <f t="shared" si="7"/>
        <v>2.3542543490083875E-2</v>
      </c>
      <c r="AY46">
        <f t="shared" si="12"/>
        <v>-6.2933192413652944E-3</v>
      </c>
      <c r="AZ46">
        <f t="shared" si="8"/>
        <v>9.8333344069476733E-2</v>
      </c>
      <c r="BB46">
        <f t="shared" si="13"/>
        <v>-4.6775380944572504E-3</v>
      </c>
      <c r="BC46">
        <f t="shared" si="9"/>
        <v>0.24378902856162715</v>
      </c>
      <c r="BE46">
        <f t="shared" si="14"/>
        <v>1.4906809538994157E-2</v>
      </c>
      <c r="BF46">
        <f t="shared" si="10"/>
        <v>0.63433508387880011</v>
      </c>
      <c r="BH46">
        <f>(AR46*AT46*(AW46*950+AZ46*390+BC46*870+BF46*20))*10^(-6)</f>
        <v>8903595039.8610535</v>
      </c>
    </row>
    <row r="47" spans="2:60" x14ac:dyDescent="0.3">
      <c r="AQ47">
        <v>2048</v>
      </c>
      <c r="AR47">
        <v>352185925.58662403</v>
      </c>
      <c r="AT47">
        <f t="shared" si="6"/>
        <v>88647.582475977106</v>
      </c>
      <c r="AV47">
        <f t="shared" si="11"/>
        <v>-3.9359522031720074E-3</v>
      </c>
      <c r="AW47">
        <f t="shared" si="7"/>
        <v>1.9606591286911869E-2</v>
      </c>
      <c r="AY47">
        <f t="shared" si="12"/>
        <v>-6.2933192413652944E-3</v>
      </c>
      <c r="AZ47">
        <f t="shared" si="8"/>
        <v>9.2040024828111439E-2</v>
      </c>
      <c r="BB47">
        <f t="shared" si="13"/>
        <v>-4.6775380944572504E-3</v>
      </c>
      <c r="BC47">
        <f t="shared" si="9"/>
        <v>0.2391114904671699</v>
      </c>
      <c r="BE47">
        <f t="shared" si="14"/>
        <v>1.4906809538994157E-2</v>
      </c>
      <c r="BF47">
        <f t="shared" si="10"/>
        <v>0.64924189341779426</v>
      </c>
      <c r="BH47">
        <f t="shared" si="4"/>
        <v>8602281024.1343803</v>
      </c>
    </row>
    <row r="48" spans="2:60" x14ac:dyDescent="0.3">
      <c r="AQ48">
        <v>2049</v>
      </c>
      <c r="AR48">
        <v>352582805.52484</v>
      </c>
      <c r="AT48">
        <f t="shared" si="6"/>
        <v>88647.582475977106</v>
      </c>
      <c r="AV48">
        <f t="shared" si="11"/>
        <v>-3.9359522031720074E-3</v>
      </c>
      <c r="AW48">
        <f t="shared" si="7"/>
        <v>1.5670639083739862E-2</v>
      </c>
      <c r="AY48">
        <f t="shared" si="12"/>
        <v>-6.2933192413652944E-3</v>
      </c>
      <c r="AZ48">
        <f t="shared" si="8"/>
        <v>8.5746705586746144E-2</v>
      </c>
      <c r="BB48">
        <f t="shared" si="13"/>
        <v>-4.6775380944572504E-3</v>
      </c>
      <c r="BC48">
        <f t="shared" si="9"/>
        <v>0.23443395237271264</v>
      </c>
      <c r="BE48">
        <f t="shared" si="14"/>
        <v>1.4906809538994157E-2</v>
      </c>
      <c r="BF48">
        <f t="shared" si="10"/>
        <v>0.66414870295678841</v>
      </c>
      <c r="BH48">
        <f t="shared" si="4"/>
        <v>8300516817.7569332</v>
      </c>
    </row>
    <row r="49" spans="43:60" x14ac:dyDescent="0.3">
      <c r="AQ49">
        <v>2050</v>
      </c>
      <c r="AR49">
        <v>353011180.15691501</v>
      </c>
      <c r="AT49">
        <f t="shared" si="6"/>
        <v>88647.582475977106</v>
      </c>
      <c r="AV49">
        <f t="shared" si="11"/>
        <v>-3.9359522031720074E-3</v>
      </c>
      <c r="AW49">
        <f t="shared" si="7"/>
        <v>1.1734686880567856E-2</v>
      </c>
      <c r="AY49">
        <f t="shared" si="12"/>
        <v>-6.2933192413652944E-3</v>
      </c>
      <c r="AZ49">
        <f t="shared" si="8"/>
        <v>7.945338634538085E-2</v>
      </c>
      <c r="BB49">
        <f t="shared" si="13"/>
        <v>-4.6775380944572504E-3</v>
      </c>
      <c r="BC49">
        <f t="shared" si="9"/>
        <v>0.22975641427825538</v>
      </c>
      <c r="BE49">
        <f t="shared" si="14"/>
        <v>1.4906809538994157E-2</v>
      </c>
      <c r="BF49">
        <f t="shared" si="10"/>
        <v>0.67905551249578255</v>
      </c>
      <c r="BH49">
        <f t="shared" si="4"/>
        <v>7998765062.2674904</v>
      </c>
    </row>
  </sheetData>
  <pageMargins left="0.78740157499999996" right="0.78740157499999996" top="0.984251969" bottom="0.984251969" header="0.4921259845" footer="0.492125984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H48"/>
  <sheetViews>
    <sheetView topLeftCell="AU22" zoomScale="60" zoomScaleNormal="60" workbookViewId="0">
      <selection activeCell="BB16" sqref="BB16"/>
    </sheetView>
  </sheetViews>
  <sheetFormatPr baseColWidth="10" defaultRowHeight="15.6" x14ac:dyDescent="0.3"/>
  <cols>
    <col min="1" max="1" width="27.296875" bestFit="1" customWidth="1"/>
    <col min="2" max="2" width="15.69921875" bestFit="1" customWidth="1"/>
    <col min="3" max="4" width="12.5" bestFit="1" customWidth="1"/>
    <col min="5" max="10" width="12.69921875" bestFit="1" customWidth="1"/>
    <col min="11" max="11" width="12.19921875" bestFit="1" customWidth="1"/>
    <col min="12" max="14" width="12.69921875" bestFit="1" customWidth="1"/>
    <col min="15" max="25" width="13.5" bestFit="1" customWidth="1"/>
    <col min="26" max="40" width="13.296875" bestFit="1" customWidth="1"/>
    <col min="42" max="42" width="17.5" customWidth="1"/>
    <col min="44" max="44" width="20.69921875" customWidth="1"/>
    <col min="46" max="46" width="20.5" customWidth="1"/>
    <col min="48" max="48" width="17.5" customWidth="1"/>
    <col min="49" max="49" width="19.8984375" customWidth="1"/>
    <col min="51" max="51" width="14.3984375" customWidth="1"/>
    <col min="52" max="52" width="18.69921875" customWidth="1"/>
    <col min="54" max="54" width="15" customWidth="1"/>
    <col min="55" max="55" width="23.3984375" customWidth="1"/>
    <col min="57" max="57" width="14.5" customWidth="1"/>
    <col min="58" max="58" width="25.19921875" customWidth="1"/>
    <col min="60" max="60" width="17.69921875" customWidth="1"/>
    <col min="63" max="63" width="33.8984375" customWidth="1"/>
  </cols>
  <sheetData>
    <row r="1" spans="1:60" x14ac:dyDescent="0.3">
      <c r="AR1" t="s">
        <v>17</v>
      </c>
      <c r="AT1" t="s">
        <v>21</v>
      </c>
      <c r="AV1" t="s">
        <v>28</v>
      </c>
      <c r="AW1" t="s">
        <v>22</v>
      </c>
      <c r="AY1" t="s">
        <v>28</v>
      </c>
      <c r="AZ1" t="s">
        <v>23</v>
      </c>
      <c r="BB1" t="s">
        <v>28</v>
      </c>
      <c r="BC1" t="s">
        <v>25</v>
      </c>
      <c r="BE1" t="s">
        <v>28</v>
      </c>
      <c r="BF1" t="s">
        <v>26</v>
      </c>
      <c r="BH1" t="s">
        <v>29</v>
      </c>
    </row>
    <row r="3" spans="1:60" x14ac:dyDescent="0.3">
      <c r="AQ3">
        <v>2005</v>
      </c>
      <c r="AR3">
        <v>60772216</v>
      </c>
    </row>
    <row r="4" spans="1:60" x14ac:dyDescent="0.3">
      <c r="AQ4">
        <v>2006</v>
      </c>
      <c r="AR4">
        <v>61274055.319371</v>
      </c>
    </row>
    <row r="5" spans="1:60" x14ac:dyDescent="0.3">
      <c r="C5">
        <v>1980</v>
      </c>
      <c r="D5">
        <v>1981</v>
      </c>
      <c r="E5">
        <v>1982</v>
      </c>
      <c r="F5">
        <v>1983</v>
      </c>
      <c r="G5">
        <v>1984</v>
      </c>
      <c r="H5">
        <v>1985</v>
      </c>
      <c r="I5">
        <v>1986</v>
      </c>
      <c r="J5">
        <v>1987</v>
      </c>
      <c r="K5">
        <v>1988</v>
      </c>
      <c r="L5">
        <v>1989</v>
      </c>
      <c r="M5">
        <v>1990</v>
      </c>
      <c r="N5">
        <v>1991</v>
      </c>
      <c r="O5">
        <v>1992</v>
      </c>
      <c r="P5">
        <v>1993</v>
      </c>
      <c r="Q5">
        <v>1994</v>
      </c>
      <c r="R5">
        <v>1995</v>
      </c>
      <c r="S5">
        <v>1996</v>
      </c>
      <c r="T5">
        <v>1997</v>
      </c>
      <c r="U5">
        <v>1998</v>
      </c>
      <c r="V5">
        <v>1999</v>
      </c>
      <c r="W5">
        <v>2000</v>
      </c>
      <c r="X5">
        <v>2001</v>
      </c>
      <c r="Y5">
        <v>2002</v>
      </c>
      <c r="Z5">
        <v>2003</v>
      </c>
      <c r="AA5">
        <v>2004</v>
      </c>
      <c r="AB5">
        <v>2005</v>
      </c>
      <c r="AC5">
        <v>2006</v>
      </c>
      <c r="AD5">
        <v>2007</v>
      </c>
      <c r="AE5">
        <v>2008</v>
      </c>
      <c r="AF5">
        <v>2009</v>
      </c>
      <c r="AG5">
        <v>2010</v>
      </c>
      <c r="AH5">
        <v>2011</v>
      </c>
      <c r="AI5">
        <v>2012</v>
      </c>
      <c r="AJ5">
        <v>2013</v>
      </c>
      <c r="AK5">
        <v>2014</v>
      </c>
      <c r="AL5">
        <v>2015</v>
      </c>
      <c r="AM5">
        <v>2016</v>
      </c>
      <c r="AN5">
        <v>2017</v>
      </c>
      <c r="AQ5">
        <v>2007</v>
      </c>
      <c r="AR5">
        <v>61692339.555013798</v>
      </c>
    </row>
    <row r="6" spans="1:60" x14ac:dyDescent="0.3">
      <c r="A6" t="s">
        <v>0</v>
      </c>
      <c r="B6" t="s">
        <v>1</v>
      </c>
      <c r="AQ6">
        <v>2008</v>
      </c>
      <c r="AR6">
        <v>62121495.293155499</v>
      </c>
    </row>
    <row r="7" spans="1:60" x14ac:dyDescent="0.3">
      <c r="A7" t="s">
        <v>15</v>
      </c>
      <c r="AQ7">
        <v>2009</v>
      </c>
      <c r="AR7">
        <v>62607752.764548101</v>
      </c>
    </row>
    <row r="8" spans="1:60" x14ac:dyDescent="0.3">
      <c r="A8" t="s">
        <v>3</v>
      </c>
      <c r="B8" t="s">
        <v>1</v>
      </c>
      <c r="C8">
        <v>1.6345154227520999E-2</v>
      </c>
      <c r="D8">
        <v>1.099894268147E-2</v>
      </c>
      <c r="E8">
        <v>1.2806384751632E-2</v>
      </c>
      <c r="F8">
        <v>1.1970136574095999E-2</v>
      </c>
      <c r="G8">
        <v>1.3426557849581E-2</v>
      </c>
      <c r="H8">
        <v>1.4800241284577E-2</v>
      </c>
      <c r="I8">
        <v>1.507091E-2</v>
      </c>
      <c r="J8">
        <v>1.3727583999999999E-2</v>
      </c>
      <c r="K8">
        <v>1.79049012E-2</v>
      </c>
      <c r="L8">
        <v>1.7828384374E-2</v>
      </c>
      <c r="M8">
        <v>1.9426093522000001E-2</v>
      </c>
      <c r="N8">
        <v>2.0595264522000001E-2</v>
      </c>
      <c r="O8">
        <v>2.2970518740400001E-2</v>
      </c>
      <c r="P8">
        <v>2.3545079521999999E-2</v>
      </c>
      <c r="Q8">
        <v>2.4751488522000001E-2</v>
      </c>
      <c r="R8">
        <v>2.4761965521999999E-2</v>
      </c>
      <c r="S8">
        <v>2.6039574740400001E-2</v>
      </c>
      <c r="T8">
        <v>2.7017525521999999E-2</v>
      </c>
      <c r="U8">
        <v>2.89091582E-2</v>
      </c>
      <c r="V8">
        <v>2.8976266000000001E-2</v>
      </c>
      <c r="W8">
        <v>3.5074139107311997E-2</v>
      </c>
      <c r="X8">
        <v>3.6270231085989001E-2</v>
      </c>
      <c r="Y8">
        <v>3.7364990857582998E-2</v>
      </c>
      <c r="Z8">
        <v>3.9395684003336998E-2</v>
      </c>
      <c r="AA8">
        <v>4.1193960344349002E-2</v>
      </c>
      <c r="AB8">
        <v>4.7493611834180001E-2</v>
      </c>
      <c r="AC8">
        <v>4.5378099857231999E-2</v>
      </c>
      <c r="AD8">
        <v>5.4945624813667999E-2</v>
      </c>
      <c r="AE8">
        <v>5.7778992057664999E-2</v>
      </c>
      <c r="AF8">
        <v>5.9348199056156001E-2</v>
      </c>
      <c r="AG8">
        <v>6.5146120070810998E-2</v>
      </c>
      <c r="AH8">
        <v>7.0725797905981005E-2</v>
      </c>
      <c r="AI8">
        <v>7.6740738229500005E-2</v>
      </c>
      <c r="AJ8">
        <v>8.6518131773723E-2</v>
      </c>
      <c r="AK8">
        <v>9.8170942702062003E-2</v>
      </c>
      <c r="AL8">
        <v>9.6271517349272001E-2</v>
      </c>
      <c r="AM8">
        <v>9.9344988800000006E-2</v>
      </c>
      <c r="AN8">
        <v>9.7180787000000005E-2</v>
      </c>
      <c r="AQ8">
        <v>2010</v>
      </c>
      <c r="AR8">
        <v>63077802.465021297</v>
      </c>
    </row>
    <row r="9" spans="1:60" x14ac:dyDescent="0.3">
      <c r="B9" t="s">
        <v>4</v>
      </c>
      <c r="C9">
        <f>C8*0.000293071*10^15</f>
        <v>4790290694.6138067</v>
      </c>
      <c r="D9">
        <f t="shared" ref="D9:AN9" si="0">D8*0.000293071*10^15</f>
        <v>3223471130.6010942</v>
      </c>
      <c r="E9">
        <f t="shared" si="0"/>
        <v>3753179985.5455418</v>
      </c>
      <c r="F9">
        <f t="shared" si="0"/>
        <v>3508099895.9068885</v>
      </c>
      <c r="G9">
        <f t="shared" si="0"/>
        <v>3934934735.5345531</v>
      </c>
      <c r="H9">
        <f t="shared" si="0"/>
        <v>4337521513.5122662</v>
      </c>
      <c r="I9">
        <f t="shared" si="0"/>
        <v>4416846664.6099997</v>
      </c>
      <c r="J9">
        <f t="shared" si="0"/>
        <v>4023156770.4639997</v>
      </c>
      <c r="K9">
        <f t="shared" si="0"/>
        <v>5247407299.5852003</v>
      </c>
      <c r="L9">
        <f t="shared" si="0"/>
        <v>5224982436.8725538</v>
      </c>
      <c r="M9">
        <f t="shared" si="0"/>
        <v>5693224654.5860615</v>
      </c>
      <c r="N9">
        <f t="shared" si="0"/>
        <v>6035874768.7270622</v>
      </c>
      <c r="O9">
        <f t="shared" si="0"/>
        <v>6731992897.7677689</v>
      </c>
      <c r="P9">
        <f t="shared" si="0"/>
        <v>6900380000.592062</v>
      </c>
      <c r="Q9">
        <f t="shared" si="0"/>
        <v>7253943492.6310625</v>
      </c>
      <c r="R9">
        <f t="shared" si="0"/>
        <v>7257013997.4980621</v>
      </c>
      <c r="S9">
        <f t="shared" si="0"/>
        <v>7631444208.7437687</v>
      </c>
      <c r="T9">
        <f t="shared" si="0"/>
        <v>7918053222.2580614</v>
      </c>
      <c r="U9">
        <f t="shared" si="0"/>
        <v>8472435902.8321991</v>
      </c>
      <c r="V9">
        <f t="shared" si="0"/>
        <v>8492103252.8860006</v>
      </c>
      <c r="W9">
        <f t="shared" si="0"/>
        <v>10279213022.319035</v>
      </c>
      <c r="X9">
        <f t="shared" si="0"/>
        <v>10629752894.601883</v>
      </c>
      <c r="Y9">
        <f t="shared" si="0"/>
        <v>10950595235.622707</v>
      </c>
      <c r="Z9">
        <f t="shared" si="0"/>
        <v>11545732506.541977</v>
      </c>
      <c r="AA9">
        <f t="shared" si="0"/>
        <v>12072755152.078707</v>
      </c>
      <c r="AB9">
        <f t="shared" si="0"/>
        <v>13919000313.854967</v>
      </c>
      <c r="AC9">
        <f t="shared" si="0"/>
        <v>13299005103.258839</v>
      </c>
      <c r="AD9">
        <f t="shared" si="0"/>
        <v>16102969209.766493</v>
      </c>
      <c r="AE9">
        <f t="shared" si="0"/>
        <v>16933346981.33194</v>
      </c>
      <c r="AF9">
        <f t="shared" si="0"/>
        <v>17393236045.586697</v>
      </c>
      <c r="AG9">
        <f t="shared" si="0"/>
        <v>19092438555.272648</v>
      </c>
      <c r="AH9">
        <f t="shared" si="0"/>
        <v>20727680318.10376</v>
      </c>
      <c r="AI9">
        <f t="shared" si="0"/>
        <v>22490484893.657795</v>
      </c>
      <c r="AJ9">
        <f t="shared" si="0"/>
        <v>25355955397.056774</v>
      </c>
      <c r="AK9">
        <f t="shared" si="0"/>
        <v>28771056348.636013</v>
      </c>
      <c r="AL9">
        <f t="shared" si="0"/>
        <v>28214389861.068497</v>
      </c>
      <c r="AM9">
        <f t="shared" si="0"/>
        <v>29115135212.604805</v>
      </c>
      <c r="AN9">
        <f t="shared" si="0"/>
        <v>28480870426.876999</v>
      </c>
      <c r="AQ9">
        <v>2011</v>
      </c>
      <c r="AR9">
        <v>63562220.579804502</v>
      </c>
    </row>
    <row r="10" spans="1:60" x14ac:dyDescent="0.3">
      <c r="B10" t="s">
        <v>5</v>
      </c>
      <c r="C10">
        <f>C14+C19+C24+C29</f>
        <v>2681025474454.2158</v>
      </c>
      <c r="D10">
        <f t="shared" ref="D10:AN10" si="1">D14+D19+D24+D29</f>
        <v>1714489401825.364</v>
      </c>
      <c r="E10">
        <f t="shared" si="1"/>
        <v>2034462325635.29</v>
      </c>
      <c r="F10">
        <f t="shared" si="1"/>
        <v>1977997599493.3132</v>
      </c>
      <c r="G10">
        <f t="shared" si="1"/>
        <v>2043465636322.5281</v>
      </c>
      <c r="H10">
        <f t="shared" si="1"/>
        <v>2200838529284.1841</v>
      </c>
      <c r="I10">
        <f t="shared" si="1"/>
        <v>2351958092989.5498</v>
      </c>
      <c r="J10">
        <f t="shared" si="1"/>
        <v>2067325934691.1797</v>
      </c>
      <c r="K10">
        <f t="shared" si="1"/>
        <v>3129394065483.7139</v>
      </c>
      <c r="L10">
        <f t="shared" si="1"/>
        <v>2861856323166.6865</v>
      </c>
      <c r="M10">
        <f t="shared" si="1"/>
        <v>3088926069575.4478</v>
      </c>
      <c r="N10">
        <f t="shared" si="1"/>
        <v>3354488764640.3428</v>
      </c>
      <c r="O10">
        <f t="shared" si="1"/>
        <v>3533737722187.8071</v>
      </c>
      <c r="P10">
        <f t="shared" si="1"/>
        <v>3632779879059.0181</v>
      </c>
      <c r="Q10">
        <f t="shared" si="1"/>
        <v>3739168829786.123</v>
      </c>
      <c r="R10">
        <f t="shared" si="1"/>
        <v>3692649220092.1377</v>
      </c>
      <c r="S10">
        <f t="shared" si="1"/>
        <v>3762932218440.9766</v>
      </c>
      <c r="T10">
        <f t="shared" si="1"/>
        <v>3863352585650.3374</v>
      </c>
      <c r="U10">
        <f t="shared" si="1"/>
        <v>4369781930840.1035</v>
      </c>
      <c r="V10">
        <f t="shared" si="1"/>
        <v>4370179612361.2695</v>
      </c>
      <c r="W10">
        <f t="shared" si="1"/>
        <v>5126251800279.6963</v>
      </c>
      <c r="X10">
        <f t="shared" si="1"/>
        <v>5260121542586.3936</v>
      </c>
      <c r="Y10">
        <f t="shared" si="1"/>
        <v>5316333527039.5986</v>
      </c>
      <c r="Z10">
        <f t="shared" si="1"/>
        <v>5582018331561.125</v>
      </c>
      <c r="AA10">
        <f t="shared" si="1"/>
        <v>5905167778827.4541</v>
      </c>
      <c r="AB10">
        <f t="shared" si="1"/>
        <v>7344641931730.209</v>
      </c>
      <c r="AC10">
        <f t="shared" si="1"/>
        <v>8650689447447.9326</v>
      </c>
      <c r="AD10">
        <f t="shared" si="1"/>
        <v>10483496854239.689</v>
      </c>
      <c r="AE10">
        <f t="shared" si="1"/>
        <v>10494590507020.143</v>
      </c>
      <c r="AF10">
        <f t="shared" si="1"/>
        <v>11333626554364.781</v>
      </c>
      <c r="AG10">
        <f t="shared" si="1"/>
        <v>13031891071812.76</v>
      </c>
      <c r="AH10">
        <f t="shared" si="1"/>
        <v>13855719788737.902</v>
      </c>
      <c r="AI10">
        <f t="shared" si="1"/>
        <v>13195160392704.119</v>
      </c>
      <c r="AJ10">
        <f t="shared" si="1"/>
        <v>13778999719842.109</v>
      </c>
      <c r="AK10">
        <f t="shared" si="1"/>
        <v>16610305191207.475</v>
      </c>
      <c r="AL10">
        <f t="shared" si="1"/>
        <v>16524422769451.902</v>
      </c>
      <c r="AM10">
        <f t="shared" si="1"/>
        <v>17130204635475.535</v>
      </c>
      <c r="AN10">
        <f t="shared" si="1"/>
        <v>16534601519337.543</v>
      </c>
      <c r="AQ10">
        <v>2012</v>
      </c>
      <c r="AR10">
        <v>63965070.710591398</v>
      </c>
    </row>
    <row r="11" spans="1:60" x14ac:dyDescent="0.3">
      <c r="AQ11">
        <v>2013</v>
      </c>
      <c r="AR11">
        <v>64308013.526838601</v>
      </c>
    </row>
    <row r="12" spans="1:60" x14ac:dyDescent="0.3">
      <c r="A12" t="s">
        <v>11</v>
      </c>
      <c r="B12" t="s">
        <v>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Q12">
        <v>2014</v>
      </c>
      <c r="AR12">
        <v>64715985.545461997</v>
      </c>
    </row>
    <row r="13" spans="1:60" x14ac:dyDescent="0.3">
      <c r="B13" t="s">
        <v>4</v>
      </c>
      <c r="C13">
        <f>C12*0.000293071*10^15</f>
        <v>0</v>
      </c>
      <c r="D13">
        <f t="shared" ref="D13:AN13" si="2">D12*0.000293071*10^15</f>
        <v>0</v>
      </c>
      <c r="E13">
        <f t="shared" si="2"/>
        <v>0</v>
      </c>
      <c r="F13">
        <f t="shared" si="2"/>
        <v>0</v>
      </c>
      <c r="G13">
        <f t="shared" si="2"/>
        <v>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>
        <f t="shared" si="2"/>
        <v>0</v>
      </c>
      <c r="N13">
        <f t="shared" si="2"/>
        <v>0</v>
      </c>
      <c r="O13">
        <f t="shared" si="2"/>
        <v>0</v>
      </c>
      <c r="P13">
        <f t="shared" si="2"/>
        <v>0</v>
      </c>
      <c r="Q13">
        <f t="shared" si="2"/>
        <v>0</v>
      </c>
      <c r="R13">
        <f t="shared" si="2"/>
        <v>0</v>
      </c>
      <c r="S13">
        <f t="shared" si="2"/>
        <v>0</v>
      </c>
      <c r="T13">
        <f t="shared" si="2"/>
        <v>0</v>
      </c>
      <c r="U13">
        <f t="shared" si="2"/>
        <v>0</v>
      </c>
      <c r="V13">
        <f t="shared" si="2"/>
        <v>0</v>
      </c>
      <c r="W13">
        <f t="shared" si="2"/>
        <v>0</v>
      </c>
      <c r="X13">
        <f t="shared" si="2"/>
        <v>0</v>
      </c>
      <c r="Y13">
        <f t="shared" si="2"/>
        <v>0</v>
      </c>
      <c r="Z13">
        <f t="shared" si="2"/>
        <v>0</v>
      </c>
      <c r="AA13">
        <f t="shared" si="2"/>
        <v>0</v>
      </c>
      <c r="AB13">
        <f t="shared" si="2"/>
        <v>0</v>
      </c>
      <c r="AC13">
        <f t="shared" si="2"/>
        <v>0</v>
      </c>
      <c r="AD13">
        <f t="shared" si="2"/>
        <v>0</v>
      </c>
      <c r="AE13">
        <f t="shared" si="2"/>
        <v>0</v>
      </c>
      <c r="AF13">
        <f t="shared" si="2"/>
        <v>0</v>
      </c>
      <c r="AG13">
        <f t="shared" si="2"/>
        <v>0</v>
      </c>
      <c r="AH13">
        <f t="shared" si="2"/>
        <v>0</v>
      </c>
      <c r="AI13">
        <f t="shared" si="2"/>
        <v>0</v>
      </c>
      <c r="AJ13">
        <f t="shared" si="2"/>
        <v>0</v>
      </c>
      <c r="AK13">
        <f t="shared" si="2"/>
        <v>0</v>
      </c>
      <c r="AL13">
        <f t="shared" si="2"/>
        <v>0</v>
      </c>
      <c r="AM13">
        <f t="shared" si="2"/>
        <v>0</v>
      </c>
      <c r="AN13">
        <f t="shared" si="2"/>
        <v>0</v>
      </c>
      <c r="AQ13">
        <v>2015</v>
      </c>
      <c r="AR13">
        <v>65203721.003047399</v>
      </c>
    </row>
    <row r="14" spans="1:60" x14ac:dyDescent="0.3">
      <c r="A14" t="s">
        <v>9</v>
      </c>
      <c r="B14" t="s">
        <v>5</v>
      </c>
      <c r="C14">
        <f>C13*950</f>
        <v>0</v>
      </c>
      <c r="D14">
        <f t="shared" ref="D14:AN14" si="3">D13*950</f>
        <v>0</v>
      </c>
      <c r="E14">
        <f t="shared" si="3"/>
        <v>0</v>
      </c>
      <c r="F14">
        <f t="shared" si="3"/>
        <v>0</v>
      </c>
      <c r="G14">
        <f t="shared" si="3"/>
        <v>0</v>
      </c>
      <c r="H14">
        <f t="shared" si="3"/>
        <v>0</v>
      </c>
      <c r="I14">
        <f t="shared" si="3"/>
        <v>0</v>
      </c>
      <c r="J14">
        <f t="shared" si="3"/>
        <v>0</v>
      </c>
      <c r="K14">
        <f t="shared" si="3"/>
        <v>0</v>
      </c>
      <c r="L14">
        <f t="shared" si="3"/>
        <v>0</v>
      </c>
      <c r="M14">
        <f t="shared" si="3"/>
        <v>0</v>
      </c>
      <c r="N14">
        <f t="shared" si="3"/>
        <v>0</v>
      </c>
      <c r="O14">
        <f t="shared" si="3"/>
        <v>0</v>
      </c>
      <c r="P14">
        <f t="shared" si="3"/>
        <v>0</v>
      </c>
      <c r="Q14">
        <f t="shared" si="3"/>
        <v>0</v>
      </c>
      <c r="R14">
        <f t="shared" si="3"/>
        <v>0</v>
      </c>
      <c r="S14">
        <f t="shared" si="3"/>
        <v>0</v>
      </c>
      <c r="T14">
        <f t="shared" si="3"/>
        <v>0</v>
      </c>
      <c r="U14">
        <f t="shared" si="3"/>
        <v>0</v>
      </c>
      <c r="V14">
        <f t="shared" si="3"/>
        <v>0</v>
      </c>
      <c r="W14">
        <f t="shared" si="3"/>
        <v>0</v>
      </c>
      <c r="X14">
        <f t="shared" si="3"/>
        <v>0</v>
      </c>
      <c r="Y14">
        <f t="shared" si="3"/>
        <v>0</v>
      </c>
      <c r="Z14">
        <f t="shared" si="3"/>
        <v>0</v>
      </c>
      <c r="AA14">
        <f t="shared" si="3"/>
        <v>0</v>
      </c>
      <c r="AB14">
        <f t="shared" si="3"/>
        <v>0</v>
      </c>
      <c r="AC14">
        <f t="shared" si="3"/>
        <v>0</v>
      </c>
      <c r="AD14">
        <f t="shared" si="3"/>
        <v>0</v>
      </c>
      <c r="AE14">
        <f t="shared" si="3"/>
        <v>0</v>
      </c>
      <c r="AF14">
        <f t="shared" si="3"/>
        <v>0</v>
      </c>
      <c r="AG14">
        <f t="shared" si="3"/>
        <v>0</v>
      </c>
      <c r="AH14">
        <f t="shared" si="3"/>
        <v>0</v>
      </c>
      <c r="AI14">
        <f t="shared" si="3"/>
        <v>0</v>
      </c>
      <c r="AJ14">
        <f t="shared" si="3"/>
        <v>0</v>
      </c>
      <c r="AK14">
        <f t="shared" si="3"/>
        <v>0</v>
      </c>
      <c r="AL14">
        <f t="shared" si="3"/>
        <v>0</v>
      </c>
      <c r="AM14">
        <f t="shared" si="3"/>
        <v>0</v>
      </c>
      <c r="AN14">
        <f t="shared" si="3"/>
        <v>0</v>
      </c>
      <c r="AQ14">
        <v>2016</v>
      </c>
      <c r="AR14">
        <v>65602678.116694801</v>
      </c>
    </row>
    <row r="15" spans="1:60" x14ac:dyDescent="0.3">
      <c r="B15" t="s">
        <v>10</v>
      </c>
      <c r="C15">
        <f>C14/C10*100</f>
        <v>0</v>
      </c>
      <c r="D15">
        <f t="shared" ref="D15:AN15" si="4">D14/D10*100</f>
        <v>0</v>
      </c>
      <c r="E15">
        <f t="shared" si="4"/>
        <v>0</v>
      </c>
      <c r="F15">
        <f t="shared" si="4"/>
        <v>0</v>
      </c>
      <c r="G15">
        <f t="shared" si="4"/>
        <v>0</v>
      </c>
      <c r="H15">
        <f t="shared" si="4"/>
        <v>0</v>
      </c>
      <c r="I15">
        <f t="shared" si="4"/>
        <v>0</v>
      </c>
      <c r="J15">
        <f t="shared" si="4"/>
        <v>0</v>
      </c>
      <c r="K15">
        <f t="shared" si="4"/>
        <v>0</v>
      </c>
      <c r="L15">
        <f t="shared" si="4"/>
        <v>0</v>
      </c>
      <c r="M15">
        <f t="shared" si="4"/>
        <v>0</v>
      </c>
      <c r="N15">
        <f t="shared" si="4"/>
        <v>0</v>
      </c>
      <c r="O15">
        <f t="shared" si="4"/>
        <v>0</v>
      </c>
      <c r="P15">
        <f t="shared" si="4"/>
        <v>0</v>
      </c>
      <c r="Q15">
        <f t="shared" si="4"/>
        <v>0</v>
      </c>
      <c r="R15">
        <f t="shared" si="4"/>
        <v>0</v>
      </c>
      <c r="S15">
        <f t="shared" si="4"/>
        <v>0</v>
      </c>
      <c r="T15">
        <f t="shared" si="4"/>
        <v>0</v>
      </c>
      <c r="U15">
        <f t="shared" si="4"/>
        <v>0</v>
      </c>
      <c r="V15">
        <f t="shared" si="4"/>
        <v>0</v>
      </c>
      <c r="W15">
        <f t="shared" si="4"/>
        <v>0</v>
      </c>
      <c r="X15">
        <f t="shared" si="4"/>
        <v>0</v>
      </c>
      <c r="Y15">
        <f t="shared" si="4"/>
        <v>0</v>
      </c>
      <c r="Z15">
        <f t="shared" si="4"/>
        <v>0</v>
      </c>
      <c r="AA15">
        <f t="shared" si="4"/>
        <v>0</v>
      </c>
      <c r="AB15">
        <f t="shared" si="4"/>
        <v>0</v>
      </c>
      <c r="AC15">
        <f t="shared" si="4"/>
        <v>0</v>
      </c>
      <c r="AD15">
        <f t="shared" si="4"/>
        <v>0</v>
      </c>
      <c r="AE15">
        <f t="shared" si="4"/>
        <v>0</v>
      </c>
      <c r="AF15">
        <f t="shared" si="4"/>
        <v>0</v>
      </c>
      <c r="AG15">
        <f t="shared" si="4"/>
        <v>0</v>
      </c>
      <c r="AH15">
        <f t="shared" si="4"/>
        <v>0</v>
      </c>
      <c r="AI15">
        <f t="shared" si="4"/>
        <v>0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  <c r="AN15">
        <f t="shared" si="4"/>
        <v>0</v>
      </c>
      <c r="AP15" t="s">
        <v>18</v>
      </c>
      <c r="AQ15">
        <v>2017</v>
      </c>
      <c r="AR15">
        <v>66031688.867960103</v>
      </c>
      <c r="AT15">
        <f>AN9/AR15</f>
        <v>431.32124764866472</v>
      </c>
      <c r="AW15">
        <f>AN13/AN9</f>
        <v>0</v>
      </c>
      <c r="AZ15">
        <f>AN18/AN9</f>
        <v>0</v>
      </c>
      <c r="BC15">
        <f>AN23/AN9</f>
        <v>0.65947191804487049</v>
      </c>
      <c r="BF15">
        <f>AN28/AN9</f>
        <v>0.34052808195512962</v>
      </c>
      <c r="BH15">
        <f>(AR15*AT15*(AW15*950+AZ15*390+BC15*870+BF15*20))*10^(-6)</f>
        <v>16534601.519337544</v>
      </c>
    </row>
    <row r="16" spans="1:60" x14ac:dyDescent="0.3">
      <c r="AP16" t="s">
        <v>27</v>
      </c>
      <c r="AQ16">
        <v>2018</v>
      </c>
      <c r="AR16">
        <v>66377678.683389999</v>
      </c>
      <c r="AT16">
        <f>AT15</f>
        <v>431.32124764866472</v>
      </c>
      <c r="AV16">
        <f>(USA!AW16-Ouganda!AW15)/33</f>
        <v>4.2915487753104288E-3</v>
      </c>
      <c r="AW16">
        <f>AW15+AV16</f>
        <v>4.2915487753104288E-3</v>
      </c>
      <c r="AY16">
        <f>(USA!AZ16-AZ15)/33</f>
        <v>8.7009976154677343E-3</v>
      </c>
      <c r="AZ16">
        <f>AZ15+AY16</f>
        <v>8.7009976154677343E-3</v>
      </c>
      <c r="BB16">
        <f>(USA!BC16-BC15)/33</f>
        <v>-8.3441438378644133E-3</v>
      </c>
      <c r="BC16">
        <f>BC15+BB16</f>
        <v>0.65112777420700607</v>
      </c>
      <c r="BE16">
        <f>(USA!BF16-BF15)/33</f>
        <v>-4.6484025529137576E-3</v>
      </c>
      <c r="BF16">
        <f>BF15+BE16</f>
        <v>0.33587967940221586</v>
      </c>
      <c r="BH16">
        <f t="shared" ref="BH16:BH48" si="5">(AR16*AT16*(AW16*950+AZ16*390+BC16*870+BF16*20))*10^(-6)</f>
        <v>16624616.752365269</v>
      </c>
    </row>
    <row r="17" spans="1:60" x14ac:dyDescent="0.3">
      <c r="A17" t="s">
        <v>12</v>
      </c>
      <c r="B17" t="s">
        <v>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Q17">
        <v>2019</v>
      </c>
      <c r="AR17">
        <v>66690666.719190001</v>
      </c>
      <c r="AT17">
        <f t="shared" ref="AT17:AT48" si="6">AT16</f>
        <v>431.32124764866472</v>
      </c>
      <c r="AV17">
        <f>AV16</f>
        <v>4.2915487753104288E-3</v>
      </c>
      <c r="AW17">
        <f t="shared" ref="AW17:AW48" si="7">AW16+AV17</f>
        <v>8.5830975506208575E-3</v>
      </c>
      <c r="AY17">
        <f>AY16</f>
        <v>8.7009976154677343E-3</v>
      </c>
      <c r="AZ17">
        <f t="shared" ref="AZ17:AZ48" si="8">AZ16+AY17</f>
        <v>1.7401995230935469E-2</v>
      </c>
      <c r="BB17">
        <f>BB16</f>
        <v>-8.3441438378644133E-3</v>
      </c>
      <c r="BC17">
        <f t="shared" ref="BC17:BC48" si="9">BC16+BB17</f>
        <v>0.64278363036914166</v>
      </c>
      <c r="BE17">
        <f>BE16</f>
        <v>-4.6484025529137576E-3</v>
      </c>
      <c r="BF17">
        <f t="shared" ref="BF17:BF48" si="10">BF16+BE17</f>
        <v>0.33123127684930209</v>
      </c>
      <c r="BH17">
        <f t="shared" si="5"/>
        <v>16706400.062685641</v>
      </c>
    </row>
    <row r="18" spans="1:60" x14ac:dyDescent="0.3">
      <c r="B18" t="s">
        <v>4</v>
      </c>
      <c r="C18">
        <f>C17*0.000293071*10^15</f>
        <v>0</v>
      </c>
      <c r="D18">
        <f t="shared" ref="D18:AN18" si="11">D17*0.000293071*10^15</f>
        <v>0</v>
      </c>
      <c r="E18">
        <f t="shared" si="11"/>
        <v>0</v>
      </c>
      <c r="F18">
        <f t="shared" si="11"/>
        <v>0</v>
      </c>
      <c r="G18">
        <f t="shared" si="11"/>
        <v>0</v>
      </c>
      <c r="H18">
        <f t="shared" si="11"/>
        <v>0</v>
      </c>
      <c r="I18">
        <f t="shared" si="11"/>
        <v>0</v>
      </c>
      <c r="J18">
        <f t="shared" si="11"/>
        <v>0</v>
      </c>
      <c r="K18">
        <f t="shared" si="11"/>
        <v>0</v>
      </c>
      <c r="L18">
        <f t="shared" si="11"/>
        <v>0</v>
      </c>
      <c r="M18">
        <f t="shared" si="11"/>
        <v>0</v>
      </c>
      <c r="N18">
        <f t="shared" si="11"/>
        <v>0</v>
      </c>
      <c r="O18">
        <f t="shared" si="11"/>
        <v>0</v>
      </c>
      <c r="P18">
        <f t="shared" si="11"/>
        <v>0</v>
      </c>
      <c r="Q18">
        <f t="shared" si="11"/>
        <v>0</v>
      </c>
      <c r="R18">
        <f t="shared" si="11"/>
        <v>0</v>
      </c>
      <c r="S18">
        <f t="shared" si="11"/>
        <v>0</v>
      </c>
      <c r="T18">
        <f t="shared" si="11"/>
        <v>0</v>
      </c>
      <c r="U18">
        <f t="shared" si="11"/>
        <v>0</v>
      </c>
      <c r="V18">
        <f t="shared" si="11"/>
        <v>0</v>
      </c>
      <c r="W18">
        <f t="shared" si="11"/>
        <v>0</v>
      </c>
      <c r="X18">
        <f t="shared" si="11"/>
        <v>0</v>
      </c>
      <c r="Y18">
        <f t="shared" si="11"/>
        <v>0</v>
      </c>
      <c r="Z18">
        <f t="shared" si="11"/>
        <v>0</v>
      </c>
      <c r="AA18">
        <f t="shared" si="11"/>
        <v>0</v>
      </c>
      <c r="AB18">
        <f t="shared" si="11"/>
        <v>0</v>
      </c>
      <c r="AC18">
        <f t="shared" si="11"/>
        <v>0</v>
      </c>
      <c r="AD18">
        <f t="shared" si="11"/>
        <v>0</v>
      </c>
      <c r="AE18">
        <f t="shared" si="11"/>
        <v>0</v>
      </c>
      <c r="AF18">
        <f t="shared" si="11"/>
        <v>0</v>
      </c>
      <c r="AG18">
        <f t="shared" si="11"/>
        <v>0</v>
      </c>
      <c r="AH18">
        <f t="shared" si="11"/>
        <v>0</v>
      </c>
      <c r="AI18">
        <f t="shared" si="11"/>
        <v>0</v>
      </c>
      <c r="AJ18">
        <f t="shared" si="11"/>
        <v>0</v>
      </c>
      <c r="AK18">
        <f t="shared" si="11"/>
        <v>0</v>
      </c>
      <c r="AL18">
        <f t="shared" si="11"/>
        <v>0</v>
      </c>
      <c r="AM18">
        <f t="shared" si="11"/>
        <v>0</v>
      </c>
      <c r="AN18">
        <f t="shared" si="11"/>
        <v>0</v>
      </c>
      <c r="AQ18">
        <v>2020</v>
      </c>
      <c r="AR18">
        <v>66995806.828370102</v>
      </c>
      <c r="AT18">
        <f t="shared" si="6"/>
        <v>431.32124764866472</v>
      </c>
      <c r="AV18">
        <f t="shared" ref="AV18:AV48" si="12">AV17</f>
        <v>4.2915487753104288E-3</v>
      </c>
      <c r="AW18">
        <f t="shared" si="7"/>
        <v>1.2874646325931285E-2</v>
      </c>
      <c r="AY18">
        <f t="shared" ref="AY18:AY48" si="13">AY17</f>
        <v>8.7009976154677343E-3</v>
      </c>
      <c r="AZ18">
        <f t="shared" si="8"/>
        <v>2.6102992846403203E-2</v>
      </c>
      <c r="BB18">
        <f t="shared" ref="BB18:BB48" si="14">BB17</f>
        <v>-8.3441438378644133E-3</v>
      </c>
      <c r="BC18">
        <f t="shared" si="9"/>
        <v>0.63443948653127724</v>
      </c>
      <c r="BE18">
        <f t="shared" ref="BE18:BE48" si="15">BE17</f>
        <v>-4.6484025529137576E-3</v>
      </c>
      <c r="BF18">
        <f t="shared" si="10"/>
        <v>0.32658287429638833</v>
      </c>
      <c r="BH18">
        <f t="shared" si="5"/>
        <v>16786248.878507912</v>
      </c>
    </row>
    <row r="19" spans="1:60" x14ac:dyDescent="0.3">
      <c r="A19" t="s">
        <v>8</v>
      </c>
      <c r="B19" t="s">
        <v>5</v>
      </c>
      <c r="C19">
        <f>C18*390</f>
        <v>0</v>
      </c>
      <c r="D19">
        <f t="shared" ref="D19:AN19" si="16">D18*390</f>
        <v>0</v>
      </c>
      <c r="E19">
        <f t="shared" si="16"/>
        <v>0</v>
      </c>
      <c r="F19">
        <f t="shared" si="16"/>
        <v>0</v>
      </c>
      <c r="G19">
        <f t="shared" si="16"/>
        <v>0</v>
      </c>
      <c r="H19">
        <f t="shared" si="16"/>
        <v>0</v>
      </c>
      <c r="I19">
        <f t="shared" si="16"/>
        <v>0</v>
      </c>
      <c r="J19">
        <f t="shared" si="16"/>
        <v>0</v>
      </c>
      <c r="K19">
        <f t="shared" si="16"/>
        <v>0</v>
      </c>
      <c r="L19">
        <f t="shared" si="16"/>
        <v>0</v>
      </c>
      <c r="M19">
        <f t="shared" si="16"/>
        <v>0</v>
      </c>
      <c r="N19">
        <f t="shared" si="16"/>
        <v>0</v>
      </c>
      <c r="O19">
        <f t="shared" si="16"/>
        <v>0</v>
      </c>
      <c r="P19">
        <f t="shared" si="16"/>
        <v>0</v>
      </c>
      <c r="Q19">
        <f t="shared" si="16"/>
        <v>0</v>
      </c>
      <c r="R19">
        <f t="shared" si="16"/>
        <v>0</v>
      </c>
      <c r="S19">
        <f t="shared" si="16"/>
        <v>0</v>
      </c>
      <c r="T19">
        <f t="shared" si="16"/>
        <v>0</v>
      </c>
      <c r="U19">
        <f t="shared" si="16"/>
        <v>0</v>
      </c>
      <c r="V19">
        <f t="shared" si="16"/>
        <v>0</v>
      </c>
      <c r="W19">
        <f t="shared" si="16"/>
        <v>0</v>
      </c>
      <c r="X19">
        <f t="shared" si="16"/>
        <v>0</v>
      </c>
      <c r="Y19">
        <f t="shared" si="16"/>
        <v>0</v>
      </c>
      <c r="Z19">
        <f t="shared" si="16"/>
        <v>0</v>
      </c>
      <c r="AA19">
        <f t="shared" si="16"/>
        <v>0</v>
      </c>
      <c r="AB19">
        <f t="shared" si="16"/>
        <v>0</v>
      </c>
      <c r="AC19">
        <f t="shared" si="16"/>
        <v>0</v>
      </c>
      <c r="AD19">
        <f t="shared" si="16"/>
        <v>0</v>
      </c>
      <c r="AE19">
        <f t="shared" si="16"/>
        <v>0</v>
      </c>
      <c r="AF19">
        <f t="shared" si="16"/>
        <v>0</v>
      </c>
      <c r="AG19">
        <f t="shared" si="16"/>
        <v>0</v>
      </c>
      <c r="AH19">
        <f t="shared" si="16"/>
        <v>0</v>
      </c>
      <c r="AI19">
        <f t="shared" si="16"/>
        <v>0</v>
      </c>
      <c r="AJ19">
        <f t="shared" si="16"/>
        <v>0</v>
      </c>
      <c r="AK19">
        <f t="shared" si="16"/>
        <v>0</v>
      </c>
      <c r="AL19">
        <f t="shared" si="16"/>
        <v>0</v>
      </c>
      <c r="AM19">
        <f t="shared" si="16"/>
        <v>0</v>
      </c>
      <c r="AN19">
        <f t="shared" si="16"/>
        <v>0</v>
      </c>
      <c r="AQ19">
        <v>2021</v>
      </c>
      <c r="AR19">
        <v>67056205.007503599</v>
      </c>
      <c r="AT19">
        <f t="shared" si="6"/>
        <v>431.32124764866472</v>
      </c>
      <c r="AV19">
        <f t="shared" si="12"/>
        <v>4.2915487753104288E-3</v>
      </c>
      <c r="AW19">
        <f t="shared" si="7"/>
        <v>1.7166195101241715E-2</v>
      </c>
      <c r="AY19">
        <f t="shared" si="13"/>
        <v>8.7009976154677343E-3</v>
      </c>
      <c r="AZ19">
        <f t="shared" si="8"/>
        <v>3.4803990461870937E-2</v>
      </c>
      <c r="BB19">
        <f t="shared" si="14"/>
        <v>-8.3441438378644133E-3</v>
      </c>
      <c r="BC19">
        <f t="shared" si="9"/>
        <v>0.62609534269341283</v>
      </c>
      <c r="BE19">
        <f t="shared" si="15"/>
        <v>-4.6484025529137576E-3</v>
      </c>
      <c r="BF19">
        <f t="shared" si="10"/>
        <v>0.32193447174347456</v>
      </c>
      <c r="BH19">
        <f t="shared" si="5"/>
        <v>16804794.564160518</v>
      </c>
    </row>
    <row r="20" spans="1:60" x14ac:dyDescent="0.3">
      <c r="B20" t="s">
        <v>10</v>
      </c>
      <c r="C20">
        <f>C19/C10*100</f>
        <v>0</v>
      </c>
      <c r="D20">
        <f t="shared" ref="D20:AN20" si="17">D19/D10*100</f>
        <v>0</v>
      </c>
      <c r="E20">
        <f t="shared" si="17"/>
        <v>0</v>
      </c>
      <c r="F20">
        <f t="shared" si="17"/>
        <v>0</v>
      </c>
      <c r="G20">
        <f t="shared" si="17"/>
        <v>0</v>
      </c>
      <c r="H20">
        <f t="shared" si="17"/>
        <v>0</v>
      </c>
      <c r="I20">
        <f t="shared" si="17"/>
        <v>0</v>
      </c>
      <c r="J20">
        <f t="shared" si="17"/>
        <v>0</v>
      </c>
      <c r="K20">
        <f t="shared" si="17"/>
        <v>0</v>
      </c>
      <c r="L20">
        <f t="shared" si="17"/>
        <v>0</v>
      </c>
      <c r="M20">
        <f t="shared" si="17"/>
        <v>0</v>
      </c>
      <c r="N20">
        <f t="shared" si="17"/>
        <v>0</v>
      </c>
      <c r="O20">
        <f t="shared" si="17"/>
        <v>0</v>
      </c>
      <c r="P20">
        <f t="shared" si="17"/>
        <v>0</v>
      </c>
      <c r="Q20">
        <f t="shared" si="17"/>
        <v>0</v>
      </c>
      <c r="R20">
        <f t="shared" si="17"/>
        <v>0</v>
      </c>
      <c r="S20">
        <f t="shared" si="17"/>
        <v>0</v>
      </c>
      <c r="T20">
        <f t="shared" si="17"/>
        <v>0</v>
      </c>
      <c r="U20">
        <f t="shared" si="17"/>
        <v>0</v>
      </c>
      <c r="V20">
        <f t="shared" si="17"/>
        <v>0</v>
      </c>
      <c r="W20">
        <f t="shared" si="17"/>
        <v>0</v>
      </c>
      <c r="X20">
        <f t="shared" si="17"/>
        <v>0</v>
      </c>
      <c r="Y20">
        <f t="shared" si="17"/>
        <v>0</v>
      </c>
      <c r="Z20">
        <f t="shared" si="17"/>
        <v>0</v>
      </c>
      <c r="AA20">
        <f t="shared" si="17"/>
        <v>0</v>
      </c>
      <c r="AB20">
        <f t="shared" si="17"/>
        <v>0</v>
      </c>
      <c r="AC20">
        <f t="shared" si="17"/>
        <v>0</v>
      </c>
      <c r="AD20">
        <f t="shared" si="17"/>
        <v>0</v>
      </c>
      <c r="AE20">
        <f t="shared" si="17"/>
        <v>0</v>
      </c>
      <c r="AF20">
        <f t="shared" si="17"/>
        <v>0</v>
      </c>
      <c r="AG20">
        <f t="shared" si="17"/>
        <v>0</v>
      </c>
      <c r="AH20">
        <f t="shared" si="17"/>
        <v>0</v>
      </c>
      <c r="AI20">
        <f t="shared" si="17"/>
        <v>0</v>
      </c>
      <c r="AJ20">
        <f t="shared" si="17"/>
        <v>0</v>
      </c>
      <c r="AK20">
        <f t="shared" si="17"/>
        <v>0</v>
      </c>
      <c r="AL20">
        <f t="shared" si="17"/>
        <v>0</v>
      </c>
      <c r="AM20">
        <f t="shared" si="17"/>
        <v>0</v>
      </c>
      <c r="AN20">
        <f t="shared" si="17"/>
        <v>0</v>
      </c>
      <c r="AQ20">
        <v>2022</v>
      </c>
      <c r="AR20">
        <v>67399663.754210204</v>
      </c>
      <c r="AT20">
        <f t="shared" si="6"/>
        <v>431.32124764866472</v>
      </c>
      <c r="AV20">
        <f t="shared" si="12"/>
        <v>4.2915487753104288E-3</v>
      </c>
      <c r="AW20">
        <f t="shared" si="7"/>
        <v>2.1457743876552145E-2</v>
      </c>
      <c r="AY20">
        <f t="shared" si="13"/>
        <v>8.7009976154677343E-3</v>
      </c>
      <c r="AZ20">
        <f t="shared" si="8"/>
        <v>4.3504988077338672E-2</v>
      </c>
      <c r="BB20">
        <f t="shared" si="14"/>
        <v>-8.3441438378644133E-3</v>
      </c>
      <c r="BC20">
        <f t="shared" si="9"/>
        <v>0.61775119885554841</v>
      </c>
      <c r="BE20">
        <f t="shared" si="15"/>
        <v>-4.6484025529137576E-3</v>
      </c>
      <c r="BF20">
        <f t="shared" si="10"/>
        <v>0.31728606919056079</v>
      </c>
      <c r="BH20">
        <f t="shared" si="5"/>
        <v>16894297.931585219</v>
      </c>
    </row>
    <row r="21" spans="1:60" x14ac:dyDescent="0.3">
      <c r="AQ21">
        <v>2023</v>
      </c>
      <c r="AR21">
        <v>68081788.413321495</v>
      </c>
      <c r="AT21">
        <f t="shared" si="6"/>
        <v>431.32124764866472</v>
      </c>
      <c r="AV21">
        <f t="shared" si="12"/>
        <v>4.2915487753104288E-3</v>
      </c>
      <c r="AW21">
        <f t="shared" si="7"/>
        <v>2.5749292651862574E-2</v>
      </c>
      <c r="AY21">
        <f t="shared" si="13"/>
        <v>8.7009976154677343E-3</v>
      </c>
      <c r="AZ21">
        <f t="shared" si="8"/>
        <v>5.2205985692806406E-2</v>
      </c>
      <c r="BB21">
        <f t="shared" si="14"/>
        <v>-8.3441438378644133E-3</v>
      </c>
      <c r="BC21">
        <f t="shared" si="9"/>
        <v>0.609407055017684</v>
      </c>
      <c r="BE21">
        <f t="shared" si="15"/>
        <v>-4.6484025529137576E-3</v>
      </c>
      <c r="BF21">
        <f t="shared" si="10"/>
        <v>0.31263766663764703</v>
      </c>
      <c r="BH21">
        <f t="shared" si="5"/>
        <v>17068742.977512751</v>
      </c>
    </row>
    <row r="22" spans="1:60" x14ac:dyDescent="0.3">
      <c r="A22" t="s">
        <v>13</v>
      </c>
      <c r="B22" t="s">
        <v>1</v>
      </c>
      <c r="C22">
        <v>1.037780911376E-2</v>
      </c>
      <c r="D22">
        <v>6.6236508407352002E-3</v>
      </c>
      <c r="E22">
        <v>7.8655853758159006E-3</v>
      </c>
      <c r="F22">
        <v>7.6585962870477997E-3</v>
      </c>
      <c r="G22">
        <v>7.8871349247906994E-3</v>
      </c>
      <c r="H22">
        <v>8.4865526422886004E-3</v>
      </c>
      <c r="I22">
        <v>9.0868210000000001E-3</v>
      </c>
      <c r="J22">
        <v>7.9758339999999994E-3</v>
      </c>
      <c r="K22">
        <v>1.2140988599999999E-2</v>
      </c>
      <c r="L22">
        <v>1.1068816186999999E-2</v>
      </c>
      <c r="M22">
        <v>1.1942745761E-2</v>
      </c>
      <c r="N22">
        <v>1.2981280261000001E-2</v>
      </c>
      <c r="O22">
        <v>1.36449483702E-2</v>
      </c>
      <c r="P22">
        <v>1.4029012761E-2</v>
      </c>
      <c r="Q22">
        <v>1.4427702261E-2</v>
      </c>
      <c r="R22">
        <v>1.4240712761E-2</v>
      </c>
      <c r="S22">
        <v>1.4492787370199999E-2</v>
      </c>
      <c r="T22">
        <v>1.4872892761E-2</v>
      </c>
      <c r="U22">
        <v>1.6861335599999999E-2</v>
      </c>
      <c r="V22">
        <v>1.6861352999999999E-2</v>
      </c>
      <c r="W22">
        <v>1.9752963053656002E-2</v>
      </c>
      <c r="X22">
        <v>2.0262211042994999E-2</v>
      </c>
      <c r="Y22">
        <v>2.0462102928790998E-2</v>
      </c>
      <c r="Z22">
        <v>2.1480856501667998E-2</v>
      </c>
      <c r="AA22">
        <v>2.2735758172175002E-2</v>
      </c>
      <c r="AB22">
        <v>2.8365990917089998E-2</v>
      </c>
      <c r="AC22">
        <v>3.3658614928616E-2</v>
      </c>
      <c r="AD22">
        <v>4.0790908406833998E-2</v>
      </c>
      <c r="AE22">
        <v>4.0768774028832999E-2</v>
      </c>
      <c r="AF22">
        <v>4.4099981528078001E-2</v>
      </c>
      <c r="AG22">
        <v>5.0780878035405999E-2</v>
      </c>
      <c r="AH22">
        <v>5.3956674952991002E-2</v>
      </c>
      <c r="AI22">
        <v>5.1163473114750002E-2</v>
      </c>
      <c r="AJ22">
        <v>5.3277114386861002E-2</v>
      </c>
      <c r="AK22">
        <v>6.4368598351030995E-2</v>
      </c>
      <c r="AL22">
        <v>6.4068534174635997E-2</v>
      </c>
      <c r="AM22">
        <v>6.6427998399999993E-2</v>
      </c>
      <c r="AN22">
        <v>6.4088000000000006E-2</v>
      </c>
      <c r="AQ22">
        <v>2024</v>
      </c>
      <c r="AR22">
        <v>68371769.574160606</v>
      </c>
      <c r="AT22">
        <f t="shared" si="6"/>
        <v>431.32124764866472</v>
      </c>
      <c r="AV22">
        <f t="shared" si="12"/>
        <v>4.2915487753104288E-3</v>
      </c>
      <c r="AW22">
        <f t="shared" si="7"/>
        <v>3.0040841427173004E-2</v>
      </c>
      <c r="AY22">
        <f t="shared" si="13"/>
        <v>8.7009976154677343E-3</v>
      </c>
      <c r="AZ22">
        <f t="shared" si="8"/>
        <v>6.090698330827414E-2</v>
      </c>
      <c r="BB22">
        <f t="shared" si="14"/>
        <v>-8.3441438378644133E-3</v>
      </c>
      <c r="BC22">
        <f t="shared" si="9"/>
        <v>0.60106291117981958</v>
      </c>
      <c r="BE22">
        <f t="shared" si="15"/>
        <v>-4.6484025529137576E-3</v>
      </c>
      <c r="BF22">
        <f t="shared" si="10"/>
        <v>0.30798926408473326</v>
      </c>
      <c r="BH22">
        <f t="shared" si="5"/>
        <v>17144923.440878022</v>
      </c>
    </row>
    <row r="23" spans="1:60" x14ac:dyDescent="0.3">
      <c r="B23" t="s">
        <v>4</v>
      </c>
      <c r="C23">
        <f>C22*0.000293071*10^15</f>
        <v>3041434894.7787571</v>
      </c>
      <c r="D23">
        <f t="shared" ref="D23:AN23" si="18">D22*0.000293071*10^15</f>
        <v>1941199975.5451057</v>
      </c>
      <c r="E23">
        <f t="shared" si="18"/>
        <v>2305174971.6757417</v>
      </c>
      <c r="F23">
        <f t="shared" si="18"/>
        <v>2244512472.4413857</v>
      </c>
      <c r="G23">
        <f t="shared" si="18"/>
        <v>2311490519.543335</v>
      </c>
      <c r="H23">
        <f t="shared" si="18"/>
        <v>2487162469.4281621</v>
      </c>
      <c r="I23">
        <f t="shared" si="18"/>
        <v>2663083717.2909999</v>
      </c>
      <c r="J23">
        <f t="shared" si="18"/>
        <v>2337485646.2139997</v>
      </c>
      <c r="K23">
        <f t="shared" si="18"/>
        <v>3558171669.9905996</v>
      </c>
      <c r="L23">
        <f t="shared" si="18"/>
        <v>3243949028.7402768</v>
      </c>
      <c r="M23">
        <f t="shared" si="18"/>
        <v>3500072442.9220309</v>
      </c>
      <c r="N23">
        <f t="shared" si="18"/>
        <v>3804436787.371531</v>
      </c>
      <c r="O23">
        <f t="shared" si="18"/>
        <v>3998938663.8028841</v>
      </c>
      <c r="P23">
        <f t="shared" si="18"/>
        <v>4111496798.8790312</v>
      </c>
      <c r="Q23">
        <f t="shared" si="18"/>
        <v>4228341129.3335314</v>
      </c>
      <c r="R23">
        <f t="shared" si="18"/>
        <v>4173539929.579031</v>
      </c>
      <c r="S23">
        <f t="shared" si="18"/>
        <v>4247415687.3718839</v>
      </c>
      <c r="T23">
        <f t="shared" si="18"/>
        <v>4358813554.3590307</v>
      </c>
      <c r="U23">
        <f t="shared" si="18"/>
        <v>4941568485.6275997</v>
      </c>
      <c r="V23">
        <f t="shared" si="18"/>
        <v>4941573585.0629997</v>
      </c>
      <c r="W23">
        <f t="shared" si="18"/>
        <v>5789020635.0980186</v>
      </c>
      <c r="X23">
        <f t="shared" si="18"/>
        <v>5938266452.5815878</v>
      </c>
      <c r="Y23">
        <f t="shared" si="18"/>
        <v>5996848967.4437065</v>
      </c>
      <c r="Z23">
        <f t="shared" si="18"/>
        <v>6295416095.8003426</v>
      </c>
      <c r="AA23">
        <f t="shared" si="18"/>
        <v>6663191383.2774992</v>
      </c>
      <c r="AB23">
        <f t="shared" si="18"/>
        <v>8313249324.0624819</v>
      </c>
      <c r="AC23">
        <f t="shared" si="18"/>
        <v>9864363935.7444191</v>
      </c>
      <c r="AD23">
        <f t="shared" si="18"/>
        <v>11954632317.699245</v>
      </c>
      <c r="AE23">
        <f t="shared" si="18"/>
        <v>11948145373.404116</v>
      </c>
      <c r="AF23">
        <f t="shared" si="18"/>
        <v>12924425686.415348</v>
      </c>
      <c r="AG23">
        <f t="shared" si="18"/>
        <v>14882402706.714472</v>
      </c>
      <c r="AH23">
        <f t="shared" si="18"/>
        <v>15813136685.148026</v>
      </c>
      <c r="AI23">
        <f t="shared" si="18"/>
        <v>14994530229.212898</v>
      </c>
      <c r="AJ23">
        <f t="shared" si="18"/>
        <v>15613977190.471741</v>
      </c>
      <c r="AK23">
        <f t="shared" si="18"/>
        <v>18864569487.335007</v>
      </c>
      <c r="AL23">
        <f t="shared" si="18"/>
        <v>18776629379.094746</v>
      </c>
      <c r="AM23">
        <f t="shared" si="18"/>
        <v>19468119919.086399</v>
      </c>
      <c r="AN23">
        <f t="shared" si="18"/>
        <v>18782334248.000004</v>
      </c>
      <c r="AQ23">
        <v>2025</v>
      </c>
      <c r="AR23">
        <v>68674816.026652098</v>
      </c>
      <c r="AT23">
        <f t="shared" si="6"/>
        <v>431.32124764866472</v>
      </c>
      <c r="AV23">
        <f t="shared" si="12"/>
        <v>4.2915487753104288E-3</v>
      </c>
      <c r="AW23">
        <f t="shared" si="7"/>
        <v>3.433239020248343E-2</v>
      </c>
      <c r="AY23">
        <f t="shared" si="13"/>
        <v>8.7009976154677343E-3</v>
      </c>
      <c r="AZ23">
        <f t="shared" si="8"/>
        <v>6.9607980923741875E-2</v>
      </c>
      <c r="BB23">
        <f t="shared" si="14"/>
        <v>-8.3441438378644133E-3</v>
      </c>
      <c r="BC23">
        <f t="shared" si="9"/>
        <v>0.59271876734195517</v>
      </c>
      <c r="BE23">
        <f t="shared" si="15"/>
        <v>-4.6484025529137576E-3</v>
      </c>
      <c r="BF23">
        <f t="shared" si="10"/>
        <v>0.30334086153181949</v>
      </c>
      <c r="BH23">
        <f t="shared" si="5"/>
        <v>17224410.339722294</v>
      </c>
    </row>
    <row r="24" spans="1:60" x14ac:dyDescent="0.3">
      <c r="A24" t="s">
        <v>6</v>
      </c>
      <c r="B24" t="s">
        <v>5</v>
      </c>
      <c r="C24">
        <f>C23*870</f>
        <v>2646048358457.5186</v>
      </c>
      <c r="D24">
        <f t="shared" ref="D24:AN24" si="19">D23*870</f>
        <v>1688843978724.2419</v>
      </c>
      <c r="E24">
        <f t="shared" si="19"/>
        <v>2005502225357.8953</v>
      </c>
      <c r="F24">
        <f t="shared" si="19"/>
        <v>1952725851024.0056</v>
      </c>
      <c r="G24">
        <f t="shared" si="19"/>
        <v>2010996752002.7014</v>
      </c>
      <c r="H24">
        <f t="shared" si="19"/>
        <v>2163831348402.501</v>
      </c>
      <c r="I24">
        <f t="shared" si="19"/>
        <v>2316882834043.1699</v>
      </c>
      <c r="J24">
        <f t="shared" si="19"/>
        <v>2033612512206.1797</v>
      </c>
      <c r="K24">
        <f t="shared" si="19"/>
        <v>3095609352891.8218</v>
      </c>
      <c r="L24">
        <f t="shared" si="19"/>
        <v>2822235655004.041</v>
      </c>
      <c r="M24">
        <f t="shared" si="19"/>
        <v>3045063025342.167</v>
      </c>
      <c r="N24">
        <f t="shared" si="19"/>
        <v>3309860005013.2319</v>
      </c>
      <c r="O24">
        <f t="shared" si="19"/>
        <v>3479076637508.5093</v>
      </c>
      <c r="P24">
        <f t="shared" si="19"/>
        <v>3577002215024.7573</v>
      </c>
      <c r="Q24">
        <f t="shared" si="19"/>
        <v>3678656782520.1724</v>
      </c>
      <c r="R24">
        <f t="shared" si="19"/>
        <v>3630979738733.7568</v>
      </c>
      <c r="S24">
        <f t="shared" si="19"/>
        <v>3695251648013.5391</v>
      </c>
      <c r="T24">
        <f t="shared" si="19"/>
        <v>3792167792292.3569</v>
      </c>
      <c r="U24">
        <f t="shared" si="19"/>
        <v>4299164582496.0117</v>
      </c>
      <c r="V24">
        <f t="shared" si="19"/>
        <v>4299169019004.8096</v>
      </c>
      <c r="W24">
        <f t="shared" si="19"/>
        <v>5036447952535.2764</v>
      </c>
      <c r="X24">
        <f t="shared" si="19"/>
        <v>5166291813745.9814</v>
      </c>
      <c r="Y24">
        <f t="shared" si="19"/>
        <v>5217258601676.0244</v>
      </c>
      <c r="Z24">
        <f t="shared" si="19"/>
        <v>5477012003346.2979</v>
      </c>
      <c r="AA24">
        <f t="shared" si="19"/>
        <v>5796976503451.4238</v>
      </c>
      <c r="AB24">
        <f t="shared" si="19"/>
        <v>7232526911934.3594</v>
      </c>
      <c r="AC24">
        <f t="shared" si="19"/>
        <v>8581996624097.6445</v>
      </c>
      <c r="AD24">
        <f t="shared" si="19"/>
        <v>10400530116398.344</v>
      </c>
      <c r="AE24">
        <f t="shared" si="19"/>
        <v>10394886474861.58</v>
      </c>
      <c r="AF24">
        <f t="shared" si="19"/>
        <v>11244250347181.354</v>
      </c>
      <c r="AG24">
        <f t="shared" si="19"/>
        <v>12947690354841.59</v>
      </c>
      <c r="AH24">
        <f t="shared" si="19"/>
        <v>13757428916078.781</v>
      </c>
      <c r="AI24">
        <f t="shared" si="19"/>
        <v>13045241299415.221</v>
      </c>
      <c r="AJ24">
        <f t="shared" si="19"/>
        <v>13584160155710.414</v>
      </c>
      <c r="AK24">
        <f t="shared" si="19"/>
        <v>16412175453981.455</v>
      </c>
      <c r="AL24">
        <f t="shared" si="19"/>
        <v>16335667559812.428</v>
      </c>
      <c r="AM24">
        <f t="shared" si="19"/>
        <v>16937264329605.168</v>
      </c>
      <c r="AN24">
        <f t="shared" si="19"/>
        <v>16340630795760.004</v>
      </c>
      <c r="AQ24">
        <v>2026</v>
      </c>
      <c r="AR24">
        <v>68934823.156445995</v>
      </c>
      <c r="AT24">
        <f t="shared" si="6"/>
        <v>431.32124764866472</v>
      </c>
      <c r="AV24">
        <f t="shared" si="12"/>
        <v>4.2915487753104288E-3</v>
      </c>
      <c r="AW24">
        <f t="shared" si="7"/>
        <v>3.8623938977793856E-2</v>
      </c>
      <c r="AY24">
        <f t="shared" si="13"/>
        <v>8.7009976154677343E-3</v>
      </c>
      <c r="AZ24">
        <f t="shared" si="8"/>
        <v>7.8308978539209609E-2</v>
      </c>
      <c r="BB24">
        <f t="shared" si="14"/>
        <v>-8.3441438378644133E-3</v>
      </c>
      <c r="BC24">
        <f t="shared" si="9"/>
        <v>0.58437462350409075</v>
      </c>
      <c r="BE24">
        <f t="shared" si="15"/>
        <v>-4.6484025529137576E-3</v>
      </c>
      <c r="BF24">
        <f t="shared" si="10"/>
        <v>0.29869245897890573</v>
      </c>
      <c r="BH24">
        <f t="shared" si="5"/>
        <v>17293131.150090076</v>
      </c>
    </row>
    <row r="25" spans="1:60" x14ac:dyDescent="0.3">
      <c r="B25" t="s">
        <v>10</v>
      </c>
      <c r="C25">
        <f>C24/C10*100</f>
        <v>98.695382929779214</v>
      </c>
      <c r="D25">
        <f t="shared" ref="D25:AN25" si="20">D24/D10*100</f>
        <v>98.504194713958682</v>
      </c>
      <c r="E25">
        <f t="shared" si="20"/>
        <v>98.576523147542119</v>
      </c>
      <c r="F25">
        <f t="shared" si="20"/>
        <v>98.72235696970607</v>
      </c>
      <c r="G25">
        <f t="shared" si="20"/>
        <v>98.411087334051857</v>
      </c>
      <c r="H25">
        <f t="shared" si="20"/>
        <v>98.318496319049828</v>
      </c>
      <c r="I25">
        <f t="shared" si="20"/>
        <v>98.508678404988231</v>
      </c>
      <c r="J25">
        <f t="shared" si="20"/>
        <v>98.369225581739911</v>
      </c>
      <c r="K25">
        <f t="shared" si="20"/>
        <v>98.920407213507318</v>
      </c>
      <c r="L25">
        <f t="shared" si="20"/>
        <v>98.615560542228593</v>
      </c>
      <c r="M25">
        <f t="shared" si="20"/>
        <v>98.579990480662119</v>
      </c>
      <c r="N25">
        <f t="shared" si="20"/>
        <v>98.669580888225283</v>
      </c>
      <c r="O25">
        <f t="shared" si="20"/>
        <v>98.453165204194732</v>
      </c>
      <c r="P25">
        <f t="shared" si="20"/>
        <v>98.464601052329414</v>
      </c>
      <c r="Q25">
        <f t="shared" si="20"/>
        <v>98.381671167562331</v>
      </c>
      <c r="R25">
        <f t="shared" si="20"/>
        <v>98.329939355657444</v>
      </c>
      <c r="S25">
        <f t="shared" si="20"/>
        <v>98.201387468640661</v>
      </c>
      <c r="T25">
        <f t="shared" si="20"/>
        <v>98.157434720755688</v>
      </c>
      <c r="U25">
        <f t="shared" si="20"/>
        <v>98.383961729401094</v>
      </c>
      <c r="V25">
        <f t="shared" si="20"/>
        <v>98.375110415242361</v>
      </c>
      <c r="W25">
        <f t="shared" si="20"/>
        <v>98.248157694096889</v>
      </c>
      <c r="X25">
        <f t="shared" si="20"/>
        <v>98.216206068989877</v>
      </c>
      <c r="Y25">
        <f t="shared" si="20"/>
        <v>98.13640500808188</v>
      </c>
      <c r="Z25">
        <f t="shared" si="20"/>
        <v>98.118846589572911</v>
      </c>
      <c r="AA25">
        <f t="shared" si="20"/>
        <v>98.16785433660425</v>
      </c>
      <c r="AB25">
        <f t="shared" si="20"/>
        <v>98.473512788806048</v>
      </c>
      <c r="AC25">
        <f t="shared" si="20"/>
        <v>99.205926605415783</v>
      </c>
      <c r="AD25">
        <f t="shared" si="20"/>
        <v>99.208596721161868</v>
      </c>
      <c r="AE25">
        <f t="shared" si="20"/>
        <v>99.049948332030041</v>
      </c>
      <c r="AF25">
        <f t="shared" si="20"/>
        <v>99.211406810038156</v>
      </c>
      <c r="AG25">
        <f t="shared" si="20"/>
        <v>99.353887194827067</v>
      </c>
      <c r="AH25">
        <f t="shared" si="20"/>
        <v>99.290611572998088</v>
      </c>
      <c r="AI25">
        <f t="shared" si="20"/>
        <v>98.863832732402471</v>
      </c>
      <c r="AJ25">
        <f t="shared" si="20"/>
        <v>98.585967282870897</v>
      </c>
      <c r="AK25">
        <f t="shared" si="20"/>
        <v>98.807187857506079</v>
      </c>
      <c r="AL25">
        <f t="shared" si="20"/>
        <v>98.857719798912314</v>
      </c>
      <c r="AM25">
        <f t="shared" si="20"/>
        <v>98.873683590032542</v>
      </c>
      <c r="AN25">
        <f t="shared" si="20"/>
        <v>98.826879962297937</v>
      </c>
      <c r="AQ25">
        <v>2027</v>
      </c>
      <c r="AR25">
        <v>70098978.750930995</v>
      </c>
      <c r="AT25">
        <f t="shared" si="6"/>
        <v>431.32124764866472</v>
      </c>
      <c r="AV25">
        <f t="shared" si="12"/>
        <v>4.2915487753104288E-3</v>
      </c>
      <c r="AW25">
        <f t="shared" si="7"/>
        <v>4.2915487753104282E-2</v>
      </c>
      <c r="AY25">
        <f t="shared" si="13"/>
        <v>8.7009976154677343E-3</v>
      </c>
      <c r="AZ25">
        <f t="shared" si="8"/>
        <v>8.7009976154677343E-2</v>
      </c>
      <c r="BB25">
        <f t="shared" si="14"/>
        <v>-8.3441438378644133E-3</v>
      </c>
      <c r="BC25">
        <f t="shared" si="9"/>
        <v>0.57603047966622634</v>
      </c>
      <c r="BE25">
        <f t="shared" si="15"/>
        <v>-4.6484025529137576E-3</v>
      </c>
      <c r="BF25">
        <f t="shared" si="10"/>
        <v>0.29404405642599196</v>
      </c>
      <c r="BH25">
        <f t="shared" si="5"/>
        <v>17588740.975284025</v>
      </c>
    </row>
    <row r="26" spans="1:60" x14ac:dyDescent="0.3">
      <c r="AQ26">
        <v>2028</v>
      </c>
      <c r="AR26">
        <v>70065613.746758699</v>
      </c>
      <c r="AT26">
        <f t="shared" si="6"/>
        <v>431.32124764866472</v>
      </c>
      <c r="AV26">
        <f t="shared" si="12"/>
        <v>4.2915487753104288E-3</v>
      </c>
      <c r="AW26">
        <f t="shared" si="7"/>
        <v>4.7207036528414709E-2</v>
      </c>
      <c r="AY26">
        <f t="shared" si="13"/>
        <v>8.7009976154677343E-3</v>
      </c>
      <c r="AZ26">
        <f t="shared" si="8"/>
        <v>9.5710973770145077E-2</v>
      </c>
      <c r="BB26">
        <f t="shared" si="14"/>
        <v>-8.3441438378644133E-3</v>
      </c>
      <c r="BC26">
        <f t="shared" si="9"/>
        <v>0.56768633582836192</v>
      </c>
      <c r="BE26">
        <f t="shared" si="15"/>
        <v>-4.6484025529137576E-3</v>
      </c>
      <c r="BF26">
        <f t="shared" si="10"/>
        <v>0.2893956538730782</v>
      </c>
      <c r="BH26">
        <f t="shared" si="5"/>
        <v>17583934.930585753</v>
      </c>
    </row>
    <row r="27" spans="1:60" x14ac:dyDescent="0.3">
      <c r="A27" t="s">
        <v>14</v>
      </c>
      <c r="B27" t="s">
        <v>1</v>
      </c>
      <c r="C27">
        <v>5.9673451137604002E-3</v>
      </c>
      <c r="D27">
        <v>4.3752918407352001E-3</v>
      </c>
      <c r="E27">
        <v>4.9407993758159002E-3</v>
      </c>
      <c r="F27">
        <v>4.3115402870477996E-3</v>
      </c>
      <c r="G27">
        <v>5.5394229247907002E-3</v>
      </c>
      <c r="H27">
        <v>6.3136886422886004E-3</v>
      </c>
      <c r="I27">
        <v>5.9840889999999997E-3</v>
      </c>
      <c r="J27">
        <v>5.7517499999999999E-3</v>
      </c>
      <c r="K27">
        <v>5.7639125999999997E-3</v>
      </c>
      <c r="L27">
        <v>6.7595681870000002E-3</v>
      </c>
      <c r="M27">
        <v>7.4833477610000004E-3</v>
      </c>
      <c r="N27">
        <v>7.6139842610000001E-3</v>
      </c>
      <c r="O27">
        <v>9.3255703701999992E-3</v>
      </c>
      <c r="P27">
        <v>9.5160667609999992E-3</v>
      </c>
      <c r="Q27">
        <v>1.0323786261000001E-2</v>
      </c>
      <c r="R27">
        <v>1.0521252760999999E-2</v>
      </c>
      <c r="S27">
        <v>1.15467873702E-2</v>
      </c>
      <c r="T27">
        <v>1.2144632761E-2</v>
      </c>
      <c r="U27">
        <v>1.2047822600000001E-2</v>
      </c>
      <c r="V27">
        <v>1.2114913E-2</v>
      </c>
      <c r="W27">
        <v>1.5321176053656E-2</v>
      </c>
      <c r="X27">
        <v>1.6008020042995001E-2</v>
      </c>
      <c r="Y27">
        <v>1.6902887928791001E-2</v>
      </c>
      <c r="Z27">
        <v>1.7914827501668E-2</v>
      </c>
      <c r="AA27">
        <v>1.8458202172175E-2</v>
      </c>
      <c r="AB27">
        <v>1.9127620917089999E-2</v>
      </c>
      <c r="AC27">
        <v>1.1719484928616001E-2</v>
      </c>
      <c r="AD27">
        <v>1.4154716406834E-2</v>
      </c>
      <c r="AE27">
        <v>1.7010218028832999E-2</v>
      </c>
      <c r="AF27">
        <v>1.5248217528077999E-2</v>
      </c>
      <c r="AG27">
        <v>1.4365242035406E-2</v>
      </c>
      <c r="AH27">
        <v>1.6769122952991E-2</v>
      </c>
      <c r="AI27">
        <v>2.557726511475E-2</v>
      </c>
      <c r="AJ27">
        <v>3.3241017386860999E-2</v>
      </c>
      <c r="AK27">
        <v>3.3802344351031001E-2</v>
      </c>
      <c r="AL27">
        <v>3.2202983174635998E-2</v>
      </c>
      <c r="AM27">
        <v>3.2916990399999999E-2</v>
      </c>
      <c r="AN27">
        <v>3.3092786999999999E-2</v>
      </c>
      <c r="AQ27">
        <v>2029</v>
      </c>
      <c r="AR27">
        <v>69803743.483749196</v>
      </c>
      <c r="AT27">
        <f t="shared" si="6"/>
        <v>431.32124764866472</v>
      </c>
      <c r="AV27">
        <f t="shared" si="12"/>
        <v>4.2915487753104288E-3</v>
      </c>
      <c r="AW27">
        <f t="shared" si="7"/>
        <v>5.1498585303725135E-2</v>
      </c>
      <c r="AY27">
        <f t="shared" si="13"/>
        <v>8.7009976154677343E-3</v>
      </c>
      <c r="AZ27">
        <f t="shared" si="8"/>
        <v>0.10441197138561281</v>
      </c>
      <c r="BB27">
        <f t="shared" si="14"/>
        <v>-8.3441438378644133E-3</v>
      </c>
      <c r="BC27">
        <f t="shared" si="9"/>
        <v>0.55934219199049751</v>
      </c>
      <c r="BE27">
        <f t="shared" si="15"/>
        <v>-4.6484025529137576E-3</v>
      </c>
      <c r="BF27">
        <f t="shared" si="10"/>
        <v>0.28474725132016443</v>
      </c>
      <c r="BH27">
        <f t="shared" si="5"/>
        <v>17521767.305815361</v>
      </c>
    </row>
    <row r="28" spans="1:60" x14ac:dyDescent="0.3">
      <c r="B28" t="s">
        <v>4</v>
      </c>
      <c r="C28">
        <f>C27*0.000293071*10^15</f>
        <v>1748855799.8348742</v>
      </c>
      <c r="D28">
        <f t="shared" ref="D28:AN28" si="21">D27*0.000293071*10^15</f>
        <v>1282271155.0561059</v>
      </c>
      <c r="E28">
        <f t="shared" si="21"/>
        <v>1448005013.8697417</v>
      </c>
      <c r="F28">
        <f t="shared" si="21"/>
        <v>1263587423.4653857</v>
      </c>
      <c r="G28">
        <f t="shared" si="21"/>
        <v>1623444215.9913354</v>
      </c>
      <c r="H28">
        <f t="shared" si="21"/>
        <v>1850359044.0841625</v>
      </c>
      <c r="I28">
        <f t="shared" si="21"/>
        <v>1753762947.319</v>
      </c>
      <c r="J28">
        <f t="shared" si="21"/>
        <v>1685671124.25</v>
      </c>
      <c r="K28">
        <f t="shared" si="21"/>
        <v>1689235629.5946</v>
      </c>
      <c r="L28">
        <f t="shared" si="21"/>
        <v>1981033408.1322773</v>
      </c>
      <c r="M28">
        <f t="shared" si="21"/>
        <v>2193152211.664031</v>
      </c>
      <c r="N28">
        <f t="shared" si="21"/>
        <v>2231437981.3555312</v>
      </c>
      <c r="O28">
        <f t="shared" si="21"/>
        <v>2733054233.9648843</v>
      </c>
      <c r="P28">
        <f t="shared" si="21"/>
        <v>2788883201.7130308</v>
      </c>
      <c r="Q28">
        <f t="shared" si="21"/>
        <v>3025602363.2975316</v>
      </c>
      <c r="R28">
        <f t="shared" si="21"/>
        <v>3083474067.9190307</v>
      </c>
      <c r="S28">
        <f t="shared" si="21"/>
        <v>3384028521.3718843</v>
      </c>
      <c r="T28">
        <f t="shared" si="21"/>
        <v>3559239667.8990307</v>
      </c>
      <c r="U28">
        <f t="shared" si="21"/>
        <v>3530867417.2046003</v>
      </c>
      <c r="V28">
        <f t="shared" si="21"/>
        <v>3550529667.823</v>
      </c>
      <c r="W28">
        <f t="shared" si="21"/>
        <v>4490192387.2210178</v>
      </c>
      <c r="X28">
        <f t="shared" si="21"/>
        <v>4691486442.0205879</v>
      </c>
      <c r="Y28">
        <f t="shared" si="21"/>
        <v>4953746268.1787071</v>
      </c>
      <c r="Z28">
        <f t="shared" si="21"/>
        <v>5250316410.7413425</v>
      </c>
      <c r="AA28">
        <f t="shared" si="21"/>
        <v>5409563768.8014994</v>
      </c>
      <c r="AB28">
        <f t="shared" si="21"/>
        <v>5605750989.7924833</v>
      </c>
      <c r="AC28">
        <f t="shared" si="21"/>
        <v>3434641167.51442</v>
      </c>
      <c r="AD28">
        <f t="shared" si="21"/>
        <v>4148336892.0672469</v>
      </c>
      <c r="AE28">
        <f t="shared" si="21"/>
        <v>4985201607.9281158</v>
      </c>
      <c r="AF28">
        <f t="shared" si="21"/>
        <v>4468810359.1713476</v>
      </c>
      <c r="AG28">
        <f t="shared" si="21"/>
        <v>4210035848.5584717</v>
      </c>
      <c r="AH28">
        <f t="shared" si="21"/>
        <v>4914543632.9560251</v>
      </c>
      <c r="AI28">
        <f t="shared" si="21"/>
        <v>7495954664.4448967</v>
      </c>
      <c r="AJ28">
        <f t="shared" si="21"/>
        <v>9741978206.5847397</v>
      </c>
      <c r="AK28">
        <f t="shared" si="21"/>
        <v>9906486861.3010063</v>
      </c>
      <c r="AL28">
        <f t="shared" si="21"/>
        <v>9437760481.9737473</v>
      </c>
      <c r="AM28">
        <f t="shared" si="21"/>
        <v>9647015293.5183983</v>
      </c>
      <c r="AN28">
        <f t="shared" si="21"/>
        <v>9698536178.8769989</v>
      </c>
      <c r="AQ28">
        <v>2030</v>
      </c>
      <c r="AR28">
        <v>69977014.655089304</v>
      </c>
      <c r="AT28">
        <f t="shared" si="6"/>
        <v>431.32124764866472</v>
      </c>
      <c r="AV28">
        <f t="shared" si="12"/>
        <v>4.2915487753104288E-3</v>
      </c>
      <c r="AW28">
        <f t="shared" si="7"/>
        <v>5.5790134079035561E-2</v>
      </c>
      <c r="AY28">
        <f t="shared" si="13"/>
        <v>8.7009976154677343E-3</v>
      </c>
      <c r="AZ28">
        <f t="shared" si="8"/>
        <v>0.11311296900108055</v>
      </c>
      <c r="BB28">
        <f t="shared" si="14"/>
        <v>-8.3441438378644133E-3</v>
      </c>
      <c r="BC28">
        <f t="shared" si="9"/>
        <v>0.55099804815263309</v>
      </c>
      <c r="BE28">
        <f t="shared" si="15"/>
        <v>-4.6484025529137576E-3</v>
      </c>
      <c r="BF28">
        <f t="shared" si="10"/>
        <v>0.28009884876725066</v>
      </c>
      <c r="BH28">
        <f t="shared" si="5"/>
        <v>17568822.078629892</v>
      </c>
    </row>
    <row r="29" spans="1:60" x14ac:dyDescent="0.3">
      <c r="A29" t="s">
        <v>7</v>
      </c>
      <c r="B29" t="s">
        <v>5</v>
      </c>
      <c r="C29">
        <f>C28*20</f>
        <v>34977115996.697479</v>
      </c>
      <c r="D29">
        <f t="shared" ref="D29:AN29" si="22">D28*20</f>
        <v>25645423101.122116</v>
      </c>
      <c r="E29">
        <f t="shared" si="22"/>
        <v>28960100277.394833</v>
      </c>
      <c r="F29">
        <f t="shared" si="22"/>
        <v>25271748469.307713</v>
      </c>
      <c r="G29">
        <f t="shared" si="22"/>
        <v>32468884319.826706</v>
      </c>
      <c r="H29">
        <f t="shared" si="22"/>
        <v>37007180881.68325</v>
      </c>
      <c r="I29">
        <f t="shared" si="22"/>
        <v>35075258946.379997</v>
      </c>
      <c r="J29">
        <f t="shared" si="22"/>
        <v>33713422485</v>
      </c>
      <c r="K29">
        <f t="shared" si="22"/>
        <v>33784712591.891998</v>
      </c>
      <c r="L29">
        <f t="shared" si="22"/>
        <v>39620668162.645546</v>
      </c>
      <c r="M29">
        <f t="shared" si="22"/>
        <v>43863044233.280624</v>
      </c>
      <c r="N29">
        <f t="shared" si="22"/>
        <v>44628759627.110626</v>
      </c>
      <c r="O29">
        <f t="shared" si="22"/>
        <v>54661084679.297684</v>
      </c>
      <c r="P29">
        <f t="shared" si="22"/>
        <v>55777664034.26062</v>
      </c>
      <c r="Q29">
        <f t="shared" si="22"/>
        <v>60512047265.95063</v>
      </c>
      <c r="R29">
        <f t="shared" si="22"/>
        <v>61669481358.380615</v>
      </c>
      <c r="S29">
        <f t="shared" si="22"/>
        <v>67680570427.437683</v>
      </c>
      <c r="T29">
        <f t="shared" si="22"/>
        <v>71184793357.980621</v>
      </c>
      <c r="U29">
        <f t="shared" si="22"/>
        <v>70617348344.09201</v>
      </c>
      <c r="V29">
        <f t="shared" si="22"/>
        <v>71010593356.459991</v>
      </c>
      <c r="W29">
        <f t="shared" si="22"/>
        <v>89803847744.420349</v>
      </c>
      <c r="X29">
        <f t="shared" si="22"/>
        <v>93829728840.411758</v>
      </c>
      <c r="Y29">
        <f t="shared" si="22"/>
        <v>99074925363.574142</v>
      </c>
      <c r="Z29">
        <f t="shared" si="22"/>
        <v>105006328214.82684</v>
      </c>
      <c r="AA29">
        <f t="shared" si="22"/>
        <v>108191275376.02998</v>
      </c>
      <c r="AB29">
        <f t="shared" si="22"/>
        <v>112115019795.84967</v>
      </c>
      <c r="AC29">
        <f t="shared" si="22"/>
        <v>68692823350.288399</v>
      </c>
      <c r="AD29">
        <f t="shared" si="22"/>
        <v>82966737841.34494</v>
      </c>
      <c r="AE29">
        <f t="shared" si="22"/>
        <v>99704032158.562317</v>
      </c>
      <c r="AF29">
        <f t="shared" si="22"/>
        <v>89376207183.426956</v>
      </c>
      <c r="AG29">
        <f t="shared" si="22"/>
        <v>84200716971.169434</v>
      </c>
      <c r="AH29">
        <f t="shared" si="22"/>
        <v>98290872659.120499</v>
      </c>
      <c r="AI29">
        <f t="shared" si="22"/>
        <v>149919093288.89795</v>
      </c>
      <c r="AJ29">
        <f t="shared" si="22"/>
        <v>194839564131.69479</v>
      </c>
      <c r="AK29">
        <f t="shared" si="22"/>
        <v>198129737226.02014</v>
      </c>
      <c r="AL29">
        <f t="shared" si="22"/>
        <v>188755209639.47495</v>
      </c>
      <c r="AM29">
        <f t="shared" si="22"/>
        <v>192940305870.36798</v>
      </c>
      <c r="AN29">
        <f t="shared" si="22"/>
        <v>193970723577.53998</v>
      </c>
      <c r="AQ29">
        <v>2031</v>
      </c>
      <c r="AR29">
        <v>70033316.066971496</v>
      </c>
      <c r="AT29">
        <f t="shared" si="6"/>
        <v>431.32124764866472</v>
      </c>
      <c r="AV29">
        <f t="shared" si="12"/>
        <v>4.2915487753104288E-3</v>
      </c>
      <c r="AW29">
        <f t="shared" si="7"/>
        <v>6.0081682854345987E-2</v>
      </c>
      <c r="AY29">
        <f t="shared" si="13"/>
        <v>8.7009976154677343E-3</v>
      </c>
      <c r="AZ29">
        <f t="shared" si="8"/>
        <v>0.12181396661654828</v>
      </c>
      <c r="BB29">
        <f t="shared" si="14"/>
        <v>-8.3441438378644133E-3</v>
      </c>
      <c r="BC29">
        <f t="shared" si="9"/>
        <v>0.54265390431476868</v>
      </c>
      <c r="BE29">
        <f t="shared" si="15"/>
        <v>-4.6484025529137576E-3</v>
      </c>
      <c r="BF29">
        <f t="shared" si="10"/>
        <v>0.2754504462143369</v>
      </c>
      <c r="BH29">
        <f t="shared" si="5"/>
        <v>17586521.450125523</v>
      </c>
    </row>
    <row r="30" spans="1:60" x14ac:dyDescent="0.3">
      <c r="B30" t="s">
        <v>10</v>
      </c>
      <c r="C30">
        <f>C29/C10*100</f>
        <v>1.3046170702207844</v>
      </c>
      <c r="D30">
        <f t="shared" ref="D30:AN30" si="23">D29/D10*100</f>
        <v>1.4958052860413267</v>
      </c>
      <c r="E30">
        <f t="shared" si="23"/>
        <v>1.4234768524578909</v>
      </c>
      <c r="F30">
        <f t="shared" si="23"/>
        <v>1.2776430302939377</v>
      </c>
      <c r="G30">
        <f t="shared" si="23"/>
        <v>1.5889126659481549</v>
      </c>
      <c r="H30">
        <f t="shared" si="23"/>
        <v>1.6815036809501749</v>
      </c>
      <c r="I30">
        <f t="shared" si="23"/>
        <v>1.4913215950117629</v>
      </c>
      <c r="J30">
        <f t="shared" si="23"/>
        <v>1.6307744182600874</v>
      </c>
      <c r="K30">
        <f t="shared" si="23"/>
        <v>1.0795927864926738</v>
      </c>
      <c r="L30">
        <f t="shared" si="23"/>
        <v>1.3844394577714052</v>
      </c>
      <c r="M30">
        <f t="shared" si="23"/>
        <v>1.4200095193378748</v>
      </c>
      <c r="N30">
        <f t="shared" si="23"/>
        <v>1.3304191117747139</v>
      </c>
      <c r="O30">
        <f t="shared" si="23"/>
        <v>1.5468347958052733</v>
      </c>
      <c r="P30">
        <f t="shared" si="23"/>
        <v>1.5353989476705769</v>
      </c>
      <c r="Q30">
        <f t="shared" si="23"/>
        <v>1.6183288324376586</v>
      </c>
      <c r="R30">
        <f t="shared" si="23"/>
        <v>1.6700606443425421</v>
      </c>
      <c r="S30">
        <f t="shared" si="23"/>
        <v>1.7986125313593468</v>
      </c>
      <c r="T30">
        <f t="shared" si="23"/>
        <v>1.8425652792443152</v>
      </c>
      <c r="U30">
        <f t="shared" si="23"/>
        <v>1.6160382705989087</v>
      </c>
      <c r="V30">
        <f t="shared" si="23"/>
        <v>1.6248895847576379</v>
      </c>
      <c r="W30">
        <f t="shared" si="23"/>
        <v>1.7518423059031261</v>
      </c>
      <c r="X30">
        <f t="shared" si="23"/>
        <v>1.7837939310101156</v>
      </c>
      <c r="Y30">
        <f t="shared" si="23"/>
        <v>1.8635949919181245</v>
      </c>
      <c r="Z30">
        <f t="shared" si="23"/>
        <v>1.8811534104270791</v>
      </c>
      <c r="AA30">
        <f t="shared" si="23"/>
        <v>1.8321456633957443</v>
      </c>
      <c r="AB30">
        <f t="shared" si="23"/>
        <v>1.5264872111939465</v>
      </c>
      <c r="AC30">
        <f t="shared" si="23"/>
        <v>0.79407339458421655</v>
      </c>
      <c r="AD30">
        <f t="shared" si="23"/>
        <v>0.79140327883812833</v>
      </c>
      <c r="AE30">
        <f t="shared" si="23"/>
        <v>0.95005166796996354</v>
      </c>
      <c r="AF30">
        <f t="shared" si="23"/>
        <v>0.78859318996183614</v>
      </c>
      <c r="AG30">
        <f t="shared" si="23"/>
        <v>0.64611280517292535</v>
      </c>
      <c r="AH30">
        <f t="shared" si="23"/>
        <v>0.70938842700191229</v>
      </c>
      <c r="AI30">
        <f t="shared" si="23"/>
        <v>1.1361672675975303</v>
      </c>
      <c r="AJ30">
        <f t="shared" si="23"/>
        <v>1.4140327171291025</v>
      </c>
      <c r="AK30">
        <f t="shared" si="23"/>
        <v>1.1928121424939166</v>
      </c>
      <c r="AL30">
        <f t="shared" si="23"/>
        <v>1.1422802010876885</v>
      </c>
      <c r="AM30">
        <f t="shared" si="23"/>
        <v>1.126316409967463</v>
      </c>
      <c r="AN30">
        <f t="shared" si="23"/>
        <v>1.1731200377020721</v>
      </c>
      <c r="AQ30">
        <v>2032</v>
      </c>
      <c r="AR30">
        <v>70296007.052298203</v>
      </c>
      <c r="AT30">
        <f t="shared" si="6"/>
        <v>431.32124764866472</v>
      </c>
      <c r="AV30">
        <f t="shared" si="12"/>
        <v>4.2915487753104288E-3</v>
      </c>
      <c r="AW30">
        <f t="shared" si="7"/>
        <v>6.4373231629656413E-2</v>
      </c>
      <c r="AY30">
        <f t="shared" si="13"/>
        <v>8.7009976154677343E-3</v>
      </c>
      <c r="AZ30">
        <f t="shared" si="8"/>
        <v>0.13051496423201603</v>
      </c>
      <c r="BB30">
        <f t="shared" si="14"/>
        <v>-8.3441438378644133E-3</v>
      </c>
      <c r="BC30">
        <f t="shared" si="9"/>
        <v>0.53430976047690426</v>
      </c>
      <c r="BE30">
        <f t="shared" si="15"/>
        <v>-4.6484025529137576E-3</v>
      </c>
      <c r="BF30">
        <f t="shared" si="10"/>
        <v>0.27080204366142313</v>
      </c>
      <c r="BH30">
        <f t="shared" si="5"/>
        <v>17656064.883285113</v>
      </c>
    </row>
    <row r="31" spans="1:60" x14ac:dyDescent="0.3">
      <c r="AQ31">
        <v>2033</v>
      </c>
      <c r="AR31">
        <v>70616344.681403607</v>
      </c>
      <c r="AT31">
        <f t="shared" si="6"/>
        <v>431.32124764866472</v>
      </c>
      <c r="AV31">
        <f t="shared" si="12"/>
        <v>4.2915487753104288E-3</v>
      </c>
      <c r="AW31">
        <f t="shared" si="7"/>
        <v>6.8664780404966846E-2</v>
      </c>
      <c r="AY31">
        <f t="shared" si="13"/>
        <v>8.7009976154677343E-3</v>
      </c>
      <c r="AZ31">
        <f t="shared" si="8"/>
        <v>0.13921596184748375</v>
      </c>
      <c r="BB31">
        <f t="shared" si="14"/>
        <v>-8.3441438378644133E-3</v>
      </c>
      <c r="BC31">
        <f t="shared" si="9"/>
        <v>0.52596561663903985</v>
      </c>
      <c r="BE31">
        <f t="shared" si="15"/>
        <v>-4.6484025529137576E-3</v>
      </c>
      <c r="BF31">
        <f t="shared" si="10"/>
        <v>0.26615364110850936</v>
      </c>
      <c r="BH31">
        <f t="shared" si="5"/>
        <v>17740116.944277391</v>
      </c>
    </row>
    <row r="32" spans="1:60" x14ac:dyDescent="0.3">
      <c r="AQ32">
        <v>2034</v>
      </c>
      <c r="AR32">
        <v>70935380.381261304</v>
      </c>
      <c r="AT32">
        <f t="shared" si="6"/>
        <v>431.32124764866472</v>
      </c>
      <c r="AV32">
        <f t="shared" si="12"/>
        <v>4.2915487753104288E-3</v>
      </c>
      <c r="AW32">
        <f t="shared" si="7"/>
        <v>7.295632918027728E-2</v>
      </c>
      <c r="AY32">
        <f t="shared" si="13"/>
        <v>8.7009976154677343E-3</v>
      </c>
      <c r="AZ32">
        <f t="shared" si="8"/>
        <v>0.14791695946295147</v>
      </c>
      <c r="BB32">
        <f t="shared" si="14"/>
        <v>-8.3441438378644133E-3</v>
      </c>
      <c r="BC32">
        <f t="shared" si="9"/>
        <v>0.51762147280117543</v>
      </c>
      <c r="BE32">
        <f t="shared" si="15"/>
        <v>-4.6484025529137576E-3</v>
      </c>
      <c r="BF32">
        <f t="shared" si="10"/>
        <v>0.2615052385555956</v>
      </c>
      <c r="BH32">
        <f t="shared" si="5"/>
        <v>17823874.474798236</v>
      </c>
    </row>
    <row r="33" spans="43:60" x14ac:dyDescent="0.3">
      <c r="AQ33">
        <v>2035</v>
      </c>
      <c r="AR33">
        <v>71210605.649520203</v>
      </c>
      <c r="AT33">
        <f t="shared" si="6"/>
        <v>431.32124764866472</v>
      </c>
      <c r="AV33">
        <f t="shared" si="12"/>
        <v>4.2915487753104288E-3</v>
      </c>
      <c r="AW33">
        <f t="shared" si="7"/>
        <v>7.7247877955587713E-2</v>
      </c>
      <c r="AY33">
        <f t="shared" si="13"/>
        <v>8.7009976154677343E-3</v>
      </c>
      <c r="AZ33">
        <f t="shared" si="8"/>
        <v>0.15661795707841919</v>
      </c>
      <c r="BB33">
        <f t="shared" si="14"/>
        <v>-8.3441438378644133E-3</v>
      </c>
      <c r="BC33">
        <f t="shared" si="9"/>
        <v>0.50927732896331102</v>
      </c>
      <c r="BE33">
        <f t="shared" si="15"/>
        <v>-4.6484025529137576E-3</v>
      </c>
      <c r="BF33">
        <f t="shared" si="10"/>
        <v>0.25685683600268183</v>
      </c>
      <c r="BH33">
        <f t="shared" si="5"/>
        <v>17896654.036509059</v>
      </c>
    </row>
    <row r="34" spans="43:60" x14ac:dyDescent="0.3">
      <c r="AQ34">
        <v>2036</v>
      </c>
      <c r="AR34">
        <v>71559609.281971797</v>
      </c>
      <c r="AT34">
        <f t="shared" si="6"/>
        <v>431.32124764866472</v>
      </c>
      <c r="AV34">
        <f t="shared" si="12"/>
        <v>4.2915487753104288E-3</v>
      </c>
      <c r="AW34">
        <f t="shared" si="7"/>
        <v>8.1539426730898146E-2</v>
      </c>
      <c r="AY34">
        <f t="shared" si="13"/>
        <v>8.7009976154677343E-3</v>
      </c>
      <c r="AZ34">
        <f t="shared" si="8"/>
        <v>0.16531895469388691</v>
      </c>
      <c r="BB34">
        <f t="shared" si="14"/>
        <v>-8.3441438378644133E-3</v>
      </c>
      <c r="BC34">
        <f t="shared" si="9"/>
        <v>0.5009331851254466</v>
      </c>
      <c r="BE34">
        <f t="shared" si="15"/>
        <v>-4.6484025529137576E-3</v>
      </c>
      <c r="BF34">
        <f t="shared" si="10"/>
        <v>0.25220843344976807</v>
      </c>
      <c r="BH34">
        <f t="shared" si="5"/>
        <v>17988007.348754581</v>
      </c>
    </row>
    <row r="35" spans="43:60" x14ac:dyDescent="0.3">
      <c r="AQ35">
        <v>2037</v>
      </c>
      <c r="AR35">
        <v>72032671.794272304</v>
      </c>
      <c r="AT35">
        <f t="shared" si="6"/>
        <v>431.32124764866472</v>
      </c>
      <c r="AV35">
        <f t="shared" si="12"/>
        <v>4.2915487753104288E-3</v>
      </c>
      <c r="AW35">
        <f t="shared" si="7"/>
        <v>8.5830975506208579E-2</v>
      </c>
      <c r="AY35">
        <f t="shared" si="13"/>
        <v>8.7009976154677343E-3</v>
      </c>
      <c r="AZ35">
        <f t="shared" si="8"/>
        <v>0.17401995230935463</v>
      </c>
      <c r="BB35">
        <f t="shared" si="14"/>
        <v>-8.3441438378644133E-3</v>
      </c>
      <c r="BC35">
        <f t="shared" si="9"/>
        <v>0.49258904128758219</v>
      </c>
      <c r="BE35">
        <f t="shared" si="15"/>
        <v>-4.6484025529137576E-3</v>
      </c>
      <c r="BF35">
        <f t="shared" si="10"/>
        <v>0.2475600308968543</v>
      </c>
      <c r="BH35">
        <f t="shared" si="5"/>
        <v>18110587.295415327</v>
      </c>
    </row>
    <row r="36" spans="43:60" x14ac:dyDescent="0.3">
      <c r="AQ36">
        <v>2038</v>
      </c>
      <c r="AR36">
        <v>72361384.039073601</v>
      </c>
      <c r="AT36">
        <f t="shared" si="6"/>
        <v>431.32124764866472</v>
      </c>
      <c r="AV36">
        <f t="shared" si="12"/>
        <v>4.2915487753104288E-3</v>
      </c>
      <c r="AW36">
        <f t="shared" si="7"/>
        <v>9.0122524281519012E-2</v>
      </c>
      <c r="AY36">
        <f t="shared" si="13"/>
        <v>8.7009976154677343E-3</v>
      </c>
      <c r="AZ36">
        <f t="shared" si="8"/>
        <v>0.18272094992482235</v>
      </c>
      <c r="BB36">
        <f t="shared" si="14"/>
        <v>-8.3441438378644133E-3</v>
      </c>
      <c r="BC36">
        <f t="shared" si="9"/>
        <v>0.48424489744971777</v>
      </c>
      <c r="BE36">
        <f t="shared" si="15"/>
        <v>-4.6484025529137576E-3</v>
      </c>
      <c r="BF36">
        <f t="shared" si="10"/>
        <v>0.24291162834394053</v>
      </c>
      <c r="BH36">
        <f t="shared" si="5"/>
        <v>18196915.234022584</v>
      </c>
    </row>
    <row r="37" spans="43:60" x14ac:dyDescent="0.3">
      <c r="AQ37">
        <v>2039</v>
      </c>
      <c r="AR37">
        <v>72747610.822635099</v>
      </c>
      <c r="AT37">
        <f t="shared" si="6"/>
        <v>431.32124764866472</v>
      </c>
      <c r="AV37">
        <f t="shared" si="12"/>
        <v>4.2915487753104288E-3</v>
      </c>
      <c r="AW37">
        <f t="shared" si="7"/>
        <v>9.4414073056829445E-2</v>
      </c>
      <c r="AY37">
        <f t="shared" si="13"/>
        <v>8.7009976154677343E-3</v>
      </c>
      <c r="AZ37">
        <f t="shared" si="8"/>
        <v>0.19142194754029007</v>
      </c>
      <c r="BB37">
        <f t="shared" si="14"/>
        <v>-8.3441438378644133E-3</v>
      </c>
      <c r="BC37">
        <f t="shared" si="9"/>
        <v>0.47590075361185336</v>
      </c>
      <c r="BE37">
        <f t="shared" si="15"/>
        <v>-4.6484025529137576E-3</v>
      </c>
      <c r="BF37">
        <f t="shared" si="10"/>
        <v>0.23826322579102677</v>
      </c>
      <c r="BH37">
        <f t="shared" si="5"/>
        <v>18297742.894587237</v>
      </c>
    </row>
    <row r="38" spans="43:60" x14ac:dyDescent="0.3">
      <c r="AQ38">
        <v>2040</v>
      </c>
      <c r="AR38">
        <v>73007909.754418507</v>
      </c>
      <c r="AT38">
        <f t="shared" si="6"/>
        <v>431.32124764866472</v>
      </c>
      <c r="AV38">
        <f t="shared" si="12"/>
        <v>4.2915487753104288E-3</v>
      </c>
      <c r="AW38">
        <f t="shared" si="7"/>
        <v>9.8705621832139878E-2</v>
      </c>
      <c r="AY38">
        <f t="shared" si="13"/>
        <v>8.7009976154677343E-3</v>
      </c>
      <c r="AZ38">
        <f t="shared" si="8"/>
        <v>0.20012294515575779</v>
      </c>
      <c r="BB38">
        <f t="shared" si="14"/>
        <v>-8.3441438378644133E-3</v>
      </c>
      <c r="BC38">
        <f t="shared" si="9"/>
        <v>0.46755660977398894</v>
      </c>
      <c r="BE38">
        <f t="shared" si="15"/>
        <v>-4.6484025529137576E-3</v>
      </c>
      <c r="BF38">
        <f t="shared" si="10"/>
        <v>0.233614823238113</v>
      </c>
      <c r="BH38">
        <f t="shared" si="5"/>
        <v>18366929.627141144</v>
      </c>
    </row>
    <row r="39" spans="43:60" x14ac:dyDescent="0.3">
      <c r="AQ39">
        <v>2041</v>
      </c>
      <c r="AR39">
        <v>73422285.347068593</v>
      </c>
      <c r="AT39">
        <f t="shared" si="6"/>
        <v>431.32124764866472</v>
      </c>
      <c r="AV39">
        <f t="shared" si="12"/>
        <v>4.2915487753104288E-3</v>
      </c>
      <c r="AW39">
        <f t="shared" si="7"/>
        <v>0.10299717060745031</v>
      </c>
      <c r="AY39">
        <f t="shared" si="13"/>
        <v>8.7009976154677343E-3</v>
      </c>
      <c r="AZ39">
        <f t="shared" si="8"/>
        <v>0.20882394277122551</v>
      </c>
      <c r="BB39">
        <f t="shared" si="14"/>
        <v>-8.3441438378644133E-3</v>
      </c>
      <c r="BC39">
        <f t="shared" si="9"/>
        <v>0.45921246593612453</v>
      </c>
      <c r="BE39">
        <f t="shared" si="15"/>
        <v>-4.6484025529137576E-3</v>
      </c>
      <c r="BF39">
        <f t="shared" si="10"/>
        <v>0.22896642068519923</v>
      </c>
      <c r="BH39">
        <f t="shared" si="5"/>
        <v>18474912.455671839</v>
      </c>
    </row>
    <row r="40" spans="43:60" x14ac:dyDescent="0.3">
      <c r="AQ40">
        <v>2042</v>
      </c>
      <c r="AR40">
        <v>73654746.450433299</v>
      </c>
      <c r="AT40">
        <f t="shared" si="6"/>
        <v>431.32124764866472</v>
      </c>
      <c r="AV40">
        <f t="shared" si="12"/>
        <v>4.2915487753104288E-3</v>
      </c>
      <c r="AW40">
        <f t="shared" si="7"/>
        <v>0.10728871938276074</v>
      </c>
      <c r="AY40">
        <f t="shared" si="13"/>
        <v>8.7009976154677343E-3</v>
      </c>
      <c r="AZ40">
        <f t="shared" si="8"/>
        <v>0.21752494038669323</v>
      </c>
      <c r="BB40">
        <f t="shared" si="14"/>
        <v>-8.3441438378644133E-3</v>
      </c>
      <c r="BC40">
        <f t="shared" si="9"/>
        <v>0.45086832209826011</v>
      </c>
      <c r="BE40">
        <f t="shared" si="15"/>
        <v>-4.6484025529137576E-3</v>
      </c>
      <c r="BF40">
        <f t="shared" si="10"/>
        <v>0.22431801813228547</v>
      </c>
      <c r="BH40">
        <f t="shared" si="5"/>
        <v>18537153.894515503</v>
      </c>
    </row>
    <row r="41" spans="43:60" x14ac:dyDescent="0.3">
      <c r="AQ41">
        <v>2043</v>
      </c>
      <c r="AR41">
        <v>73976992.728256404</v>
      </c>
      <c r="AT41">
        <f t="shared" si="6"/>
        <v>431.32124764866472</v>
      </c>
      <c r="AV41">
        <f t="shared" si="12"/>
        <v>4.2915487753104288E-3</v>
      </c>
      <c r="AW41">
        <f t="shared" si="7"/>
        <v>0.11158026815807118</v>
      </c>
      <c r="AY41">
        <f t="shared" si="13"/>
        <v>8.7009976154677343E-3</v>
      </c>
      <c r="AZ41">
        <f t="shared" si="8"/>
        <v>0.22622593800216095</v>
      </c>
      <c r="BB41">
        <f t="shared" si="14"/>
        <v>-8.3441438378644133E-3</v>
      </c>
      <c r="BC41">
        <f t="shared" si="9"/>
        <v>0.4425241782603957</v>
      </c>
      <c r="BE41">
        <f t="shared" si="15"/>
        <v>-4.6484025529137576E-3</v>
      </c>
      <c r="BF41">
        <f t="shared" si="10"/>
        <v>0.2196696155793717</v>
      </c>
      <c r="BH41">
        <f t="shared" si="5"/>
        <v>18622020.362931896</v>
      </c>
    </row>
    <row r="42" spans="43:60" x14ac:dyDescent="0.3">
      <c r="AQ42">
        <v>2044</v>
      </c>
      <c r="AR42">
        <v>74150225.071591899</v>
      </c>
      <c r="AT42">
        <f t="shared" si="6"/>
        <v>431.32124764866472</v>
      </c>
      <c r="AV42">
        <f t="shared" si="12"/>
        <v>4.2915487753104288E-3</v>
      </c>
      <c r="AW42">
        <f t="shared" si="7"/>
        <v>0.11587181693338161</v>
      </c>
      <c r="AY42">
        <f t="shared" si="13"/>
        <v>8.7009976154677343E-3</v>
      </c>
      <c r="AZ42">
        <f t="shared" si="8"/>
        <v>0.23492693561762867</v>
      </c>
      <c r="BB42">
        <f t="shared" si="14"/>
        <v>-8.3441438378644133E-3</v>
      </c>
      <c r="BC42">
        <f t="shared" si="9"/>
        <v>0.43418003442253128</v>
      </c>
      <c r="BE42">
        <f t="shared" si="15"/>
        <v>-4.6484025529137576E-3</v>
      </c>
      <c r="BF42">
        <f t="shared" si="10"/>
        <v>0.21502121302645794</v>
      </c>
      <c r="BH42">
        <f t="shared" si="5"/>
        <v>18669401.187735289</v>
      </c>
    </row>
    <row r="43" spans="43:60" x14ac:dyDescent="0.3">
      <c r="AQ43">
        <v>2045</v>
      </c>
      <c r="AR43">
        <v>74356073.143472895</v>
      </c>
      <c r="AT43">
        <f t="shared" si="6"/>
        <v>431.32124764866472</v>
      </c>
      <c r="AV43">
        <f t="shared" si="12"/>
        <v>4.2915487753104288E-3</v>
      </c>
      <c r="AW43">
        <f t="shared" si="7"/>
        <v>0.12016336570869204</v>
      </c>
      <c r="AY43">
        <f t="shared" si="13"/>
        <v>8.7009976154677343E-3</v>
      </c>
      <c r="AZ43">
        <f t="shared" si="8"/>
        <v>0.24362793323309639</v>
      </c>
      <c r="BB43">
        <f t="shared" si="14"/>
        <v>-8.3441438378644133E-3</v>
      </c>
      <c r="BC43">
        <f t="shared" si="9"/>
        <v>0.42583589058466687</v>
      </c>
      <c r="BE43">
        <f t="shared" si="15"/>
        <v>-4.6484025529137576E-3</v>
      </c>
      <c r="BF43">
        <f t="shared" si="10"/>
        <v>0.21037281047354417</v>
      </c>
      <c r="BH43">
        <f t="shared" si="5"/>
        <v>18725013.229551721</v>
      </c>
    </row>
    <row r="44" spans="43:60" x14ac:dyDescent="0.3">
      <c r="AQ44">
        <v>2046</v>
      </c>
      <c r="AR44">
        <v>74451940.655520305</v>
      </c>
      <c r="AT44">
        <f t="shared" si="6"/>
        <v>431.32124764866472</v>
      </c>
      <c r="AV44">
        <f t="shared" si="12"/>
        <v>4.2915487753104288E-3</v>
      </c>
      <c r="AW44">
        <f t="shared" si="7"/>
        <v>0.12445491448400248</v>
      </c>
      <c r="AY44">
        <f t="shared" si="13"/>
        <v>8.7009976154677343E-3</v>
      </c>
      <c r="AZ44">
        <f t="shared" si="8"/>
        <v>0.25232893084856411</v>
      </c>
      <c r="BB44">
        <f t="shared" si="14"/>
        <v>-8.3441438378644133E-3</v>
      </c>
      <c r="BC44">
        <f t="shared" si="9"/>
        <v>0.41749174674680245</v>
      </c>
      <c r="BE44">
        <f t="shared" si="15"/>
        <v>-4.6484025529137576E-3</v>
      </c>
      <c r="BF44">
        <f t="shared" si="10"/>
        <v>0.2057244079206304</v>
      </c>
      <c r="BH44">
        <f t="shared" si="5"/>
        <v>18752944.334813405</v>
      </c>
    </row>
    <row r="45" spans="43:60" x14ac:dyDescent="0.3">
      <c r="AQ45">
        <v>2047</v>
      </c>
      <c r="AR45">
        <v>74558320.667696401</v>
      </c>
      <c r="AT45">
        <f t="shared" si="6"/>
        <v>431.32124764866472</v>
      </c>
      <c r="AV45">
        <f t="shared" si="12"/>
        <v>4.2915487753104288E-3</v>
      </c>
      <c r="AW45">
        <f t="shared" si="7"/>
        <v>0.12874646325931291</v>
      </c>
      <c r="AY45">
        <f t="shared" si="13"/>
        <v>8.7009976154677343E-3</v>
      </c>
      <c r="AZ45">
        <f t="shared" si="8"/>
        <v>0.26102992846403184</v>
      </c>
      <c r="BB45">
        <f t="shared" si="14"/>
        <v>-8.3441438378644133E-3</v>
      </c>
      <c r="BC45">
        <f t="shared" si="9"/>
        <v>0.40914760290893804</v>
      </c>
      <c r="BE45">
        <f t="shared" si="15"/>
        <v>-4.6484025529137576E-3</v>
      </c>
      <c r="BF45">
        <f t="shared" si="10"/>
        <v>0.20107600536771664</v>
      </c>
      <c r="BH45">
        <f t="shared" si="5"/>
        <v>18783533.619584177</v>
      </c>
    </row>
    <row r="46" spans="43:60" x14ac:dyDescent="0.3">
      <c r="AQ46">
        <v>2048</v>
      </c>
      <c r="AR46">
        <v>74651876.393192202</v>
      </c>
      <c r="AT46">
        <f t="shared" si="6"/>
        <v>431.32124764866472</v>
      </c>
      <c r="AV46">
        <f t="shared" si="12"/>
        <v>4.2915487753104288E-3</v>
      </c>
      <c r="AW46">
        <f t="shared" si="7"/>
        <v>0.13303801203462334</v>
      </c>
      <c r="AY46">
        <f t="shared" si="13"/>
        <v>8.7009976154677343E-3</v>
      </c>
      <c r="AZ46">
        <f t="shared" si="8"/>
        <v>0.26973092607949956</v>
      </c>
      <c r="BB46">
        <f t="shared" si="14"/>
        <v>-8.3441438378644133E-3</v>
      </c>
      <c r="BC46">
        <f t="shared" si="9"/>
        <v>0.40080345907107362</v>
      </c>
      <c r="BE46">
        <f t="shared" si="15"/>
        <v>-4.6484025529137576E-3</v>
      </c>
      <c r="BF46">
        <f t="shared" si="10"/>
        <v>0.19642760281480287</v>
      </c>
      <c r="BH46">
        <f t="shared" si="5"/>
        <v>18810902.247006014</v>
      </c>
    </row>
    <row r="47" spans="43:60" x14ac:dyDescent="0.3">
      <c r="AQ47">
        <v>2049</v>
      </c>
      <c r="AR47">
        <v>74730772.573770598</v>
      </c>
      <c r="AT47">
        <f t="shared" si="6"/>
        <v>431.32124764866472</v>
      </c>
      <c r="AV47">
        <f t="shared" si="12"/>
        <v>4.2915487753104288E-3</v>
      </c>
      <c r="AW47">
        <f t="shared" si="7"/>
        <v>0.13732956080993378</v>
      </c>
      <c r="AY47">
        <f t="shared" si="13"/>
        <v>8.7009976154677343E-3</v>
      </c>
      <c r="AZ47">
        <f t="shared" si="8"/>
        <v>0.27843192369496728</v>
      </c>
      <c r="BB47">
        <f t="shared" si="14"/>
        <v>-8.3441438378644133E-3</v>
      </c>
      <c r="BC47">
        <f t="shared" si="9"/>
        <v>0.3924593152332092</v>
      </c>
      <c r="BE47">
        <f t="shared" si="15"/>
        <v>-4.6484025529137576E-3</v>
      </c>
      <c r="BF47">
        <f t="shared" si="10"/>
        <v>0.1917792002618891</v>
      </c>
      <c r="BH47">
        <f t="shared" si="5"/>
        <v>18834585.714402411</v>
      </c>
    </row>
    <row r="48" spans="43:60" x14ac:dyDescent="0.3">
      <c r="AQ48">
        <v>2050</v>
      </c>
      <c r="AR48">
        <v>74854205.194897205</v>
      </c>
      <c r="AT48">
        <f t="shared" si="6"/>
        <v>431.32124764866472</v>
      </c>
      <c r="AV48">
        <f t="shared" si="12"/>
        <v>4.2915487753104288E-3</v>
      </c>
      <c r="AW48">
        <f t="shared" si="7"/>
        <v>0.14162110958524421</v>
      </c>
      <c r="AY48">
        <f t="shared" si="13"/>
        <v>8.7009976154677343E-3</v>
      </c>
      <c r="AZ48">
        <f t="shared" si="8"/>
        <v>0.287132921310435</v>
      </c>
      <c r="BB48">
        <f t="shared" si="14"/>
        <v>-8.3441438378644133E-3</v>
      </c>
      <c r="BC48">
        <f t="shared" si="9"/>
        <v>0.38411517139534479</v>
      </c>
      <c r="BE48">
        <f t="shared" si="15"/>
        <v>-4.6484025529137576E-3</v>
      </c>
      <c r="BF48">
        <f t="shared" si="10"/>
        <v>0.18713079770897534</v>
      </c>
      <c r="BH48">
        <f t="shared" si="5"/>
        <v>18869504.110199824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Z49"/>
  <sheetViews>
    <sheetView topLeftCell="S1" zoomScale="60" zoomScaleNormal="60" workbookViewId="0">
      <selection activeCell="AT18" sqref="AT18"/>
    </sheetView>
  </sheetViews>
  <sheetFormatPr baseColWidth="10" defaultRowHeight="15.6" x14ac:dyDescent="0.3"/>
  <cols>
    <col min="1" max="1" width="27.296875" bestFit="1" customWidth="1"/>
    <col min="2" max="2" width="15.69921875" bestFit="1" customWidth="1"/>
    <col min="3" max="4" width="12.5" bestFit="1" customWidth="1"/>
    <col min="5" max="10" width="12.69921875" bestFit="1" customWidth="1"/>
    <col min="11" max="11" width="12.19921875" bestFit="1" customWidth="1"/>
    <col min="12" max="14" width="12.69921875" bestFit="1" customWidth="1"/>
    <col min="15" max="25" width="13.5" bestFit="1" customWidth="1"/>
    <col min="26" max="40" width="13.296875" bestFit="1" customWidth="1"/>
    <col min="42" max="42" width="17.5" customWidth="1"/>
    <col min="46" max="46" width="19.8984375" customWidth="1"/>
    <col min="48" max="48" width="22" customWidth="1"/>
    <col min="50" max="50" width="24.3984375" customWidth="1"/>
    <col min="52" max="52" width="25.5" customWidth="1"/>
  </cols>
  <sheetData>
    <row r="1" spans="1:52" x14ac:dyDescent="0.3">
      <c r="AR1" t="s">
        <v>17</v>
      </c>
      <c r="AT1" t="s">
        <v>22</v>
      </c>
      <c r="AV1" t="s">
        <v>23</v>
      </c>
      <c r="AX1" t="s">
        <v>25</v>
      </c>
      <c r="AZ1" t="s">
        <v>26</v>
      </c>
    </row>
    <row r="3" spans="1:52" x14ac:dyDescent="0.3">
      <c r="AQ3">
        <v>2004</v>
      </c>
    </row>
    <row r="4" spans="1:52" x14ac:dyDescent="0.3">
      <c r="AQ4">
        <v>2005</v>
      </c>
    </row>
    <row r="5" spans="1:52" x14ac:dyDescent="0.3">
      <c r="C5">
        <v>1980</v>
      </c>
      <c r="D5">
        <v>1981</v>
      </c>
      <c r="E5">
        <v>1982</v>
      </c>
      <c r="F5">
        <v>1983</v>
      </c>
      <c r="G5">
        <v>1984</v>
      </c>
      <c r="H5">
        <v>1985</v>
      </c>
      <c r="I5">
        <v>1986</v>
      </c>
      <c r="J5">
        <v>1987</v>
      </c>
      <c r="K5">
        <v>1988</v>
      </c>
      <c r="L5">
        <v>1989</v>
      </c>
      <c r="M5">
        <v>1990</v>
      </c>
      <c r="N5">
        <v>1991</v>
      </c>
      <c r="O5">
        <v>1992</v>
      </c>
      <c r="P5">
        <v>1993</v>
      </c>
      <c r="Q5">
        <v>1994</v>
      </c>
      <c r="R5">
        <v>1995</v>
      </c>
      <c r="S5">
        <v>1996</v>
      </c>
      <c r="T5">
        <v>1997</v>
      </c>
      <c r="U5">
        <v>1998</v>
      </c>
      <c r="V5">
        <v>1999</v>
      </c>
      <c r="W5">
        <v>2000</v>
      </c>
      <c r="X5">
        <v>2001</v>
      </c>
      <c r="Y5">
        <v>2002</v>
      </c>
      <c r="Z5">
        <v>2003</v>
      </c>
      <c r="AA5">
        <v>2004</v>
      </c>
      <c r="AB5">
        <v>2005</v>
      </c>
      <c r="AC5">
        <v>2006</v>
      </c>
      <c r="AD5">
        <v>2007</v>
      </c>
      <c r="AE5">
        <v>2008</v>
      </c>
      <c r="AF5">
        <v>2009</v>
      </c>
      <c r="AG5">
        <v>2010</v>
      </c>
      <c r="AH5">
        <v>2011</v>
      </c>
      <c r="AI5">
        <v>2012</v>
      </c>
      <c r="AJ5">
        <v>2013</v>
      </c>
      <c r="AK5">
        <v>2014</v>
      </c>
      <c r="AL5">
        <v>2015</v>
      </c>
      <c r="AM5">
        <v>2016</v>
      </c>
      <c r="AN5">
        <v>2017</v>
      </c>
      <c r="AQ5">
        <v>2006</v>
      </c>
    </row>
    <row r="6" spans="1:52" x14ac:dyDescent="0.3">
      <c r="A6" t="s">
        <v>0</v>
      </c>
      <c r="B6" t="s">
        <v>1</v>
      </c>
      <c r="AQ6">
        <v>2007</v>
      </c>
    </row>
    <row r="7" spans="1:52" x14ac:dyDescent="0.3">
      <c r="A7" t="s">
        <v>16</v>
      </c>
      <c r="AQ7">
        <v>2008</v>
      </c>
    </row>
    <row r="8" spans="1:52" x14ac:dyDescent="0.3">
      <c r="A8" t="s">
        <v>3</v>
      </c>
      <c r="B8" t="s">
        <v>1</v>
      </c>
      <c r="C8">
        <v>1.359836262435</v>
      </c>
      <c r="D8">
        <v>1.4075938584461001</v>
      </c>
      <c r="E8">
        <v>1.3681946111881</v>
      </c>
      <c r="F8">
        <v>1.4880081926068001</v>
      </c>
      <c r="G8">
        <v>1.5326297401722</v>
      </c>
      <c r="H8">
        <v>1.5483607622953</v>
      </c>
      <c r="I8">
        <v>1.5443471745638</v>
      </c>
      <c r="J8">
        <v>1.5735393439508001</v>
      </c>
      <c r="K8">
        <v>1.6022642817541</v>
      </c>
      <c r="L8">
        <v>1.6725242564200999</v>
      </c>
      <c r="M8">
        <v>1.7188942985305999</v>
      </c>
      <c r="N8">
        <v>1.6273185795217999</v>
      </c>
      <c r="O8">
        <v>1.7223141588574</v>
      </c>
      <c r="P8">
        <v>1.7142953002496</v>
      </c>
      <c r="Q8">
        <v>1.6844796450021999</v>
      </c>
      <c r="R8">
        <v>1.7923381720895</v>
      </c>
      <c r="S8">
        <v>1.6945928221958</v>
      </c>
      <c r="T8">
        <v>1.7499069239202001</v>
      </c>
      <c r="U8">
        <v>1.8110819499473001</v>
      </c>
      <c r="V8">
        <v>1.8842007078967</v>
      </c>
      <c r="W8">
        <v>1.9849614842758001</v>
      </c>
      <c r="X8">
        <v>1.8989689710552</v>
      </c>
      <c r="Y8">
        <v>1.9445016836372</v>
      </c>
      <c r="Z8">
        <v>1.8199280082189</v>
      </c>
      <c r="AA8">
        <v>1.8983060466201001</v>
      </c>
      <c r="AB8">
        <v>1.9895735343073</v>
      </c>
      <c r="AC8">
        <v>1.8066378558408001</v>
      </c>
      <c r="AD8">
        <v>1.9739129234682</v>
      </c>
      <c r="AE8">
        <v>1.9409626317123001</v>
      </c>
      <c r="AF8">
        <v>1.9155998214561001</v>
      </c>
      <c r="AG8">
        <v>1.8421769414331</v>
      </c>
      <c r="AH8">
        <v>1.7999341844712999</v>
      </c>
      <c r="AI8">
        <v>1.9188774363251</v>
      </c>
      <c r="AJ8">
        <v>1.8677097059996</v>
      </c>
      <c r="AK8">
        <v>1.9120624508199</v>
      </c>
      <c r="AL8">
        <v>1.9108597988702001</v>
      </c>
      <c r="AM8">
        <v>1.9412968245651001</v>
      </c>
      <c r="AN8">
        <v>1.9013745551884</v>
      </c>
      <c r="AQ8">
        <v>2009</v>
      </c>
    </row>
    <row r="9" spans="1:52" x14ac:dyDescent="0.3">
      <c r="B9" t="s">
        <v>4</v>
      </c>
      <c r="C9">
        <f>C8*0.000293071*10^15</f>
        <v>398528573268.08789</v>
      </c>
      <c r="D9">
        <f t="shared" ref="D9:AN9" si="0">D8*0.000293071*10^15</f>
        <v>412524939688.65704</v>
      </c>
      <c r="E9">
        <f t="shared" si="0"/>
        <v>400978162895.50763</v>
      </c>
      <c r="F9">
        <f t="shared" si="0"/>
        <v>436092049015.46747</v>
      </c>
      <c r="G9">
        <f t="shared" si="0"/>
        <v>449169330582.00684</v>
      </c>
      <c r="H9">
        <f t="shared" si="0"/>
        <v>453779636966.64587</v>
      </c>
      <c r="I9">
        <f t="shared" si="0"/>
        <v>452603370796.58746</v>
      </c>
      <c r="J9">
        <f t="shared" si="0"/>
        <v>461158749071.00488</v>
      </c>
      <c r="K9">
        <f t="shared" si="0"/>
        <v>469577195317.95581</v>
      </c>
      <c r="L9">
        <f t="shared" si="0"/>
        <v>490168356353.2951</v>
      </c>
      <c r="M9">
        <f t="shared" si="0"/>
        <v>503758070964.66144</v>
      </c>
      <c r="N9">
        <f t="shared" si="0"/>
        <v>476919883419.03345</v>
      </c>
      <c r="O9">
        <f t="shared" si="0"/>
        <v>504760332850.49707</v>
      </c>
      <c r="P9">
        <f t="shared" si="0"/>
        <v>502410237939.4505</v>
      </c>
      <c r="Q9">
        <f t="shared" si="0"/>
        <v>493672134040.43976</v>
      </c>
      <c r="R9">
        <f t="shared" si="0"/>
        <v>525282340432.44183</v>
      </c>
      <c r="S9">
        <f t="shared" si="0"/>
        <v>496636012993.74524</v>
      </c>
      <c r="T9">
        <f t="shared" si="0"/>
        <v>512846972100.21692</v>
      </c>
      <c r="U9">
        <f t="shared" si="0"/>
        <v>530775598153.00513</v>
      </c>
      <c r="V9">
        <f t="shared" si="0"/>
        <v>552204585663.99377</v>
      </c>
      <c r="W9">
        <f t="shared" si="0"/>
        <v>581734647158.19299</v>
      </c>
      <c r="X9">
        <f t="shared" si="0"/>
        <v>556532735316.11853</v>
      </c>
      <c r="Y9">
        <f t="shared" si="0"/>
        <v>569877052925.23792</v>
      </c>
      <c r="Z9">
        <f t="shared" si="0"/>
        <v>533368121296.72125</v>
      </c>
      <c r="AA9">
        <f t="shared" si="0"/>
        <v>556338451388.99939</v>
      </c>
      <c r="AB9">
        <f t="shared" si="0"/>
        <v>583086305272.97473</v>
      </c>
      <c r="AC9">
        <f t="shared" si="0"/>
        <v>529473163049.11914</v>
      </c>
      <c r="AD9">
        <f t="shared" si="0"/>
        <v>578496634393.7489</v>
      </c>
      <c r="AE9">
        <f t="shared" si="0"/>
        <v>568839859438.55554</v>
      </c>
      <c r="AF9">
        <f t="shared" si="0"/>
        <v>561406755273.96069</v>
      </c>
      <c r="AG9">
        <f t="shared" si="0"/>
        <v>539888638402.74005</v>
      </c>
      <c r="AH9">
        <f t="shared" si="0"/>
        <v>527508511377.18829</v>
      </c>
      <c r="AI9">
        <f t="shared" si="0"/>
        <v>562367329141.2334</v>
      </c>
      <c r="AJ9">
        <f t="shared" si="0"/>
        <v>547371551247.00873</v>
      </c>
      <c r="AK9">
        <f t="shared" si="0"/>
        <v>560370054524.23889</v>
      </c>
      <c r="AL9">
        <f t="shared" si="0"/>
        <v>560017592114.68848</v>
      </c>
      <c r="AM9">
        <f t="shared" si="0"/>
        <v>568937801672.11853</v>
      </c>
      <c r="AN9">
        <f t="shared" si="0"/>
        <v>557237742263.61963</v>
      </c>
      <c r="AQ9">
        <v>2010</v>
      </c>
    </row>
    <row r="10" spans="1:52" x14ac:dyDescent="0.3">
      <c r="B10" t="s">
        <v>5</v>
      </c>
      <c r="C10">
        <f>C14+C19+C24+C29</f>
        <v>124770896395836.8</v>
      </c>
      <c r="D10">
        <f t="shared" ref="D10:AN10" si="1">D14+D19+D24+D29</f>
        <v>116502018635124.03</v>
      </c>
      <c r="E10">
        <f t="shared" si="1"/>
        <v>107558417621324.31</v>
      </c>
      <c r="F10">
        <f t="shared" si="1"/>
        <v>107630054022816.3</v>
      </c>
      <c r="G10">
        <f t="shared" si="1"/>
        <v>115758902447352.72</v>
      </c>
      <c r="H10">
        <f t="shared" si="1"/>
        <v>120580111923225.13</v>
      </c>
      <c r="I10">
        <f t="shared" si="1"/>
        <v>128004112284848.67</v>
      </c>
      <c r="J10">
        <f t="shared" si="1"/>
        <v>124691539308376.09</v>
      </c>
      <c r="K10">
        <f t="shared" si="1"/>
        <v>122259443312500.63</v>
      </c>
      <c r="L10">
        <f t="shared" si="1"/>
        <v>118596772737131.67</v>
      </c>
      <c r="M10">
        <f t="shared" si="1"/>
        <v>124848042272859.03</v>
      </c>
      <c r="N10">
        <f t="shared" si="1"/>
        <v>118182580072298.98</v>
      </c>
      <c r="O10">
        <f t="shared" si="1"/>
        <v>125294348584083.61</v>
      </c>
      <c r="P10">
        <f t="shared" si="1"/>
        <v>123412073078908.45</v>
      </c>
      <c r="Q10">
        <f t="shared" si="1"/>
        <v>127342990496450.89</v>
      </c>
      <c r="R10">
        <f t="shared" si="1"/>
        <v>133773820017352.09</v>
      </c>
      <c r="S10">
        <f t="shared" si="1"/>
        <v>139118000073280.19</v>
      </c>
      <c r="T10">
        <f t="shared" si="1"/>
        <v>142710528936746.09</v>
      </c>
      <c r="U10">
        <f t="shared" si="1"/>
        <v>144209905940896.59</v>
      </c>
      <c r="V10">
        <f t="shared" si="1"/>
        <v>147908646333497.44</v>
      </c>
      <c r="W10">
        <f t="shared" si="1"/>
        <v>140099302877567.27</v>
      </c>
      <c r="X10">
        <f t="shared" si="1"/>
        <v>145944651948114.41</v>
      </c>
      <c r="Y10">
        <f t="shared" si="1"/>
        <v>147457532507484.59</v>
      </c>
      <c r="Z10">
        <f t="shared" si="1"/>
        <v>156266974589180.16</v>
      </c>
      <c r="AA10">
        <f t="shared" si="1"/>
        <v>158543627826416.72</v>
      </c>
      <c r="AB10">
        <f t="shared" si="1"/>
        <v>150086237269033.78</v>
      </c>
      <c r="AC10">
        <f t="shared" si="1"/>
        <v>144906526355208.53</v>
      </c>
      <c r="AD10">
        <f t="shared" si="1"/>
        <v>156421706250102.94</v>
      </c>
      <c r="AE10">
        <f t="shared" si="1"/>
        <v>144242373943392.63</v>
      </c>
      <c r="AF10">
        <f t="shared" si="1"/>
        <v>155288690488046.25</v>
      </c>
      <c r="AG10">
        <f t="shared" si="1"/>
        <v>145482044067067.56</v>
      </c>
      <c r="AH10">
        <f t="shared" si="1"/>
        <v>140626058539505.53</v>
      </c>
      <c r="AI10">
        <f t="shared" si="1"/>
        <v>139335014786130.56</v>
      </c>
      <c r="AJ10">
        <f t="shared" si="1"/>
        <v>141986187240510.22</v>
      </c>
      <c r="AK10">
        <f t="shared" si="1"/>
        <v>141478380858658.63</v>
      </c>
      <c r="AL10">
        <f t="shared" si="1"/>
        <v>145597689057754.34</v>
      </c>
      <c r="AM10">
        <f t="shared" si="1"/>
        <v>146690545141304.78</v>
      </c>
      <c r="AN10">
        <f t="shared" si="1"/>
        <v>142432175747926.19</v>
      </c>
      <c r="AQ10">
        <v>2011</v>
      </c>
    </row>
    <row r="11" spans="1:52" x14ac:dyDescent="0.3">
      <c r="AQ11">
        <v>2012</v>
      </c>
    </row>
    <row r="12" spans="1:52" x14ac:dyDescent="0.3">
      <c r="A12" t="s">
        <v>11</v>
      </c>
      <c r="B12" t="s">
        <v>1</v>
      </c>
      <c r="C12">
        <v>2.6036754713371E-2</v>
      </c>
      <c r="D12">
        <v>2.7463795044092999E-2</v>
      </c>
      <c r="E12">
        <v>2.7490720333351999E-2</v>
      </c>
      <c r="F12">
        <v>2.7813823804459001E-2</v>
      </c>
      <c r="G12">
        <v>2.9483191738512E-2</v>
      </c>
      <c r="H12">
        <v>2.9725519341842001E-2</v>
      </c>
      <c r="I12">
        <v>2.7867674382976999E-2</v>
      </c>
      <c r="J12">
        <v>2.8136927275566E-2</v>
      </c>
      <c r="K12">
        <v>2.7221467440763002E-2</v>
      </c>
      <c r="L12">
        <v>2.1351754382319999E-2</v>
      </c>
      <c r="M12">
        <v>2.0867099175659001E-2</v>
      </c>
      <c r="N12">
        <v>1.8255346117544001E-2</v>
      </c>
      <c r="O12">
        <v>1.8497673720875001E-2</v>
      </c>
      <c r="P12">
        <v>2.0543995704551999E-2</v>
      </c>
      <c r="Q12">
        <v>2.3721179837103999E-2</v>
      </c>
      <c r="R12">
        <v>2.6279082316701001E-2</v>
      </c>
      <c r="S12">
        <v>2.5794427110040999E-2</v>
      </c>
      <c r="T12">
        <v>2.5390547771156999E-2</v>
      </c>
      <c r="U12">
        <v>2.8029226118529999E-2</v>
      </c>
      <c r="V12">
        <v>2.7006065126692E-2</v>
      </c>
      <c r="W12">
        <v>2.6629111077066999E-2</v>
      </c>
      <c r="X12">
        <v>2.3667329258586001E-2</v>
      </c>
      <c r="Y12">
        <v>2.1055576200471E-2</v>
      </c>
      <c r="Z12">
        <v>2.035551867974E-2</v>
      </c>
      <c r="AA12">
        <v>2.2751869423782999E-2</v>
      </c>
      <c r="AB12">
        <v>1.9359282977160001E-2</v>
      </c>
      <c r="AC12">
        <v>1.6612903472751E-2</v>
      </c>
      <c r="AD12">
        <v>1.8174570249767999E-2</v>
      </c>
      <c r="AE12">
        <v>1.8766926613464002E-2</v>
      </c>
      <c r="AF12">
        <v>1.4108851571671001E-2</v>
      </c>
      <c r="AG12">
        <v>1.8309196696062E-2</v>
      </c>
      <c r="AH12">
        <v>1.9197731241606002E-2</v>
      </c>
      <c r="AI12">
        <v>2.0059340497892E-2</v>
      </c>
      <c r="AJ12">
        <v>2.0867099175659001E-2</v>
      </c>
      <c r="AK12">
        <v>2.2056603053942001E-2</v>
      </c>
      <c r="AL12">
        <v>2.0079544477421999E-2</v>
      </c>
      <c r="AM12">
        <v>2.0059353824374002E-2</v>
      </c>
      <c r="AN12">
        <v>2.2312035047814999E-2</v>
      </c>
      <c r="AQ12">
        <v>2013</v>
      </c>
    </row>
    <row r="13" spans="1:52" x14ac:dyDescent="0.3">
      <c r="B13" t="s">
        <v>4</v>
      </c>
      <c r="C13">
        <f>C12*0.000293071*10^15</f>
        <v>7630617740.6023521</v>
      </c>
      <c r="D13">
        <f t="shared" ref="D13:AN13" si="2">D12*0.000293071*10^15</f>
        <v>8048841877.3673792</v>
      </c>
      <c r="E13">
        <f t="shared" si="2"/>
        <v>8056732898.8158026</v>
      </c>
      <c r="F13">
        <f t="shared" si="2"/>
        <v>8151425156.1966038</v>
      </c>
      <c r="G13">
        <f t="shared" si="2"/>
        <v>8640668485.9974499</v>
      </c>
      <c r="H13">
        <f t="shared" si="2"/>
        <v>8711687679.0329781</v>
      </c>
      <c r="I13">
        <f t="shared" si="2"/>
        <v>8167207199.0934525</v>
      </c>
      <c r="J13">
        <f t="shared" si="2"/>
        <v>8246117413.5774031</v>
      </c>
      <c r="K13">
        <f t="shared" si="2"/>
        <v>7977822684.3318539</v>
      </c>
      <c r="L13">
        <f t="shared" si="2"/>
        <v>6257580008.580905</v>
      </c>
      <c r="M13">
        <f t="shared" si="2"/>
        <v>6115541622.5095596</v>
      </c>
      <c r="N13">
        <f t="shared" si="2"/>
        <v>5350112542.0147381</v>
      </c>
      <c r="O13">
        <f t="shared" si="2"/>
        <v>5421131735.0505581</v>
      </c>
      <c r="P13">
        <f t="shared" si="2"/>
        <v>6020849365.1287584</v>
      </c>
      <c r="Q13">
        <f t="shared" si="2"/>
        <v>6951989896.0399065</v>
      </c>
      <c r="R13">
        <f t="shared" si="2"/>
        <v>7701636933.6378794</v>
      </c>
      <c r="S13">
        <f t="shared" si="2"/>
        <v>7559598547.5668259</v>
      </c>
      <c r="T13">
        <f t="shared" si="2"/>
        <v>7441233225.8407526</v>
      </c>
      <c r="U13">
        <f t="shared" si="2"/>
        <v>8214553327.7837057</v>
      </c>
      <c r="V13">
        <f t="shared" si="2"/>
        <v>7914694512.744751</v>
      </c>
      <c r="W13">
        <f t="shared" si="2"/>
        <v>7804220212.4671021</v>
      </c>
      <c r="X13">
        <f t="shared" si="2"/>
        <v>6936207853.1430578</v>
      </c>
      <c r="Y13">
        <f t="shared" si="2"/>
        <v>6170778772.6482372</v>
      </c>
      <c r="Z13">
        <f t="shared" si="2"/>
        <v>5965612214.9900808</v>
      </c>
      <c r="AA13">
        <f t="shared" si="2"/>
        <v>6667913123.8975077</v>
      </c>
      <c r="AB13">
        <f t="shared" si="2"/>
        <v>5673644421.3992586</v>
      </c>
      <c r="AC13">
        <f t="shared" si="2"/>
        <v>4868760233.6626081</v>
      </c>
      <c r="AD13">
        <f t="shared" si="2"/>
        <v>5326439477.6697569</v>
      </c>
      <c r="AE13">
        <f t="shared" si="2"/>
        <v>5500041949.5345087</v>
      </c>
      <c r="AF13">
        <f t="shared" si="2"/>
        <v>4134895238.9611917</v>
      </c>
      <c r="AG13">
        <f t="shared" si="2"/>
        <v>5365894584.9115868</v>
      </c>
      <c r="AH13">
        <f t="shared" si="2"/>
        <v>5626298292.7087126</v>
      </c>
      <c r="AI13">
        <f t="shared" si="2"/>
        <v>5878810979.0577059</v>
      </c>
      <c r="AJ13">
        <f t="shared" si="2"/>
        <v>6115541622.5095596</v>
      </c>
      <c r="AK13">
        <f t="shared" si="2"/>
        <v>6464150713.6218357</v>
      </c>
      <c r="AL13">
        <f t="shared" si="2"/>
        <v>5884732179.5425425</v>
      </c>
      <c r="AM13">
        <f t="shared" si="2"/>
        <v>5878814884.6631126</v>
      </c>
      <c r="AN13">
        <f t="shared" si="2"/>
        <v>6539010423.4981899</v>
      </c>
      <c r="AQ13">
        <v>2014</v>
      </c>
    </row>
    <row r="14" spans="1:52" x14ac:dyDescent="0.3">
      <c r="A14" t="s">
        <v>9</v>
      </c>
      <c r="B14" t="s">
        <v>5</v>
      </c>
      <c r="C14">
        <f>C13*950</f>
        <v>7249086853572.2344</v>
      </c>
      <c r="D14">
        <f t="shared" ref="D14:AN14" si="3">D13*950</f>
        <v>7646399783499.0098</v>
      </c>
      <c r="E14">
        <f t="shared" si="3"/>
        <v>7653896253875.0127</v>
      </c>
      <c r="F14">
        <f t="shared" si="3"/>
        <v>7743853898386.7734</v>
      </c>
      <c r="G14">
        <f t="shared" si="3"/>
        <v>8208635061697.5771</v>
      </c>
      <c r="H14">
        <f t="shared" si="3"/>
        <v>8276103295081.3291</v>
      </c>
      <c r="I14">
        <f t="shared" si="3"/>
        <v>7758846839138.7803</v>
      </c>
      <c r="J14">
        <f t="shared" si="3"/>
        <v>7833811542898.5332</v>
      </c>
      <c r="K14">
        <f t="shared" si="3"/>
        <v>7578931550115.2607</v>
      </c>
      <c r="L14">
        <f t="shared" si="3"/>
        <v>5944701008151.8594</v>
      </c>
      <c r="M14">
        <f t="shared" si="3"/>
        <v>5809764541384.082</v>
      </c>
      <c r="N14">
        <f t="shared" si="3"/>
        <v>5082606914914.001</v>
      </c>
      <c r="O14">
        <f t="shared" si="3"/>
        <v>5150075148298.0303</v>
      </c>
      <c r="P14">
        <f t="shared" si="3"/>
        <v>5719806896872.3203</v>
      </c>
      <c r="Q14">
        <f t="shared" si="3"/>
        <v>6604390401237.9111</v>
      </c>
      <c r="R14">
        <f t="shared" si="3"/>
        <v>7316555086955.9854</v>
      </c>
      <c r="S14">
        <f t="shared" si="3"/>
        <v>7181618620188.4844</v>
      </c>
      <c r="T14">
        <f t="shared" si="3"/>
        <v>7069171564548.7148</v>
      </c>
      <c r="U14">
        <f t="shared" si="3"/>
        <v>7803825661394.5205</v>
      </c>
      <c r="V14">
        <f t="shared" si="3"/>
        <v>7518959787107.5137</v>
      </c>
      <c r="W14">
        <f t="shared" si="3"/>
        <v>7414009201843.7471</v>
      </c>
      <c r="X14">
        <f t="shared" si="3"/>
        <v>6589397460485.9053</v>
      </c>
      <c r="Y14">
        <f t="shared" si="3"/>
        <v>5862239834015.8252</v>
      </c>
      <c r="Z14">
        <f t="shared" si="3"/>
        <v>5667331604240.5771</v>
      </c>
      <c r="AA14">
        <f t="shared" si="3"/>
        <v>6334517467702.6318</v>
      </c>
      <c r="AB14">
        <f t="shared" si="3"/>
        <v>5389962200329.2959</v>
      </c>
      <c r="AC14">
        <f t="shared" si="3"/>
        <v>4625322221979.4775</v>
      </c>
      <c r="AD14">
        <f t="shared" si="3"/>
        <v>5060117503786.2695</v>
      </c>
      <c r="AE14">
        <f t="shared" si="3"/>
        <v>5225039852057.7832</v>
      </c>
      <c r="AF14">
        <f t="shared" si="3"/>
        <v>3928150477013.1318</v>
      </c>
      <c r="AG14">
        <f t="shared" si="3"/>
        <v>5097599855666.0078</v>
      </c>
      <c r="AH14">
        <f t="shared" si="3"/>
        <v>5344983378073.2773</v>
      </c>
      <c r="AI14">
        <f t="shared" si="3"/>
        <v>5584870430104.8203</v>
      </c>
      <c r="AJ14">
        <f t="shared" si="3"/>
        <v>5809764541384.082</v>
      </c>
      <c r="AK14">
        <f t="shared" si="3"/>
        <v>6140943177940.7441</v>
      </c>
      <c r="AL14">
        <f t="shared" si="3"/>
        <v>5590495570565.415</v>
      </c>
      <c r="AM14">
        <f t="shared" si="3"/>
        <v>5584874140429.957</v>
      </c>
      <c r="AN14">
        <f t="shared" si="3"/>
        <v>6212059902323.2803</v>
      </c>
      <c r="AQ14">
        <v>2015</v>
      </c>
    </row>
    <row r="15" spans="1:52" x14ac:dyDescent="0.3">
      <c r="B15" t="s">
        <v>10</v>
      </c>
      <c r="C15">
        <f>C14/C10*100</f>
        <v>5.8099180682123501</v>
      </c>
      <c r="D15">
        <f t="shared" ref="D15:AN15" si="4">D14/D10*100</f>
        <v>6.5633195656866565</v>
      </c>
      <c r="E15">
        <f t="shared" si="4"/>
        <v>7.1160364973215886</v>
      </c>
      <c r="F15">
        <f t="shared" si="4"/>
        <v>7.1948806201891982</v>
      </c>
      <c r="G15">
        <f t="shared" si="4"/>
        <v>7.0911479706114822</v>
      </c>
      <c r="H15">
        <f t="shared" si="4"/>
        <v>6.8635724109717442</v>
      </c>
      <c r="I15">
        <f t="shared" si="4"/>
        <v>6.0614043569732745</v>
      </c>
      <c r="J15">
        <f t="shared" si="4"/>
        <v>6.2825525984763431</v>
      </c>
      <c r="K15">
        <f t="shared" si="4"/>
        <v>6.1990561585849626</v>
      </c>
      <c r="L15">
        <f t="shared" si="4"/>
        <v>5.0125318513752637</v>
      </c>
      <c r="M15">
        <f t="shared" si="4"/>
        <v>4.6534686772954537</v>
      </c>
      <c r="N15">
        <f t="shared" si="4"/>
        <v>4.3006396643267406</v>
      </c>
      <c r="O15">
        <f t="shared" si="4"/>
        <v>4.1103810399252554</v>
      </c>
      <c r="P15">
        <f t="shared" si="4"/>
        <v>4.6347223202507362</v>
      </c>
      <c r="Q15">
        <f t="shared" si="4"/>
        <v>5.1863006950680797</v>
      </c>
      <c r="R15">
        <f t="shared" si="4"/>
        <v>5.4693475046215614</v>
      </c>
      <c r="S15">
        <f t="shared" si="4"/>
        <v>5.1622497566135062</v>
      </c>
      <c r="T15">
        <f t="shared" si="4"/>
        <v>4.9535038635320303</v>
      </c>
      <c r="U15">
        <f t="shared" si="4"/>
        <v>5.4114352342708436</v>
      </c>
      <c r="V15">
        <f t="shared" si="4"/>
        <v>5.0835160577118108</v>
      </c>
      <c r="W15">
        <f t="shared" si="4"/>
        <v>5.2919672329296654</v>
      </c>
      <c r="X15">
        <f t="shared" si="4"/>
        <v>4.5149975504607998</v>
      </c>
      <c r="Y15">
        <f t="shared" si="4"/>
        <v>3.9755445071741398</v>
      </c>
      <c r="Z15">
        <f t="shared" si="4"/>
        <v>3.626698231753557</v>
      </c>
      <c r="AA15">
        <f t="shared" si="4"/>
        <v>3.995441226208126</v>
      </c>
      <c r="AB15">
        <f t="shared" si="4"/>
        <v>3.5912434733556799</v>
      </c>
      <c r="AC15">
        <f t="shared" si="4"/>
        <v>3.1919350620837132</v>
      </c>
      <c r="AD15">
        <f t="shared" si="4"/>
        <v>3.2349202838227828</v>
      </c>
      <c r="AE15">
        <f t="shared" si="4"/>
        <v>3.622402841281807</v>
      </c>
      <c r="AF15">
        <f t="shared" si="4"/>
        <v>2.5295792402316066</v>
      </c>
      <c r="AG15">
        <f t="shared" si="4"/>
        <v>3.5039374710160125</v>
      </c>
      <c r="AH15">
        <f t="shared" si="4"/>
        <v>3.8008484583756803</v>
      </c>
      <c r="AI15">
        <f t="shared" si="4"/>
        <v>4.0082318422811403</v>
      </c>
      <c r="AJ15">
        <f t="shared" si="4"/>
        <v>4.0917814995221544</v>
      </c>
      <c r="AK15">
        <f t="shared" si="4"/>
        <v>4.3405523449379455</v>
      </c>
      <c r="AL15">
        <f t="shared" si="4"/>
        <v>3.8396870216448482</v>
      </c>
      <c r="AM15">
        <f t="shared" si="4"/>
        <v>3.8072488823667072</v>
      </c>
      <c r="AN15">
        <f t="shared" si="4"/>
        <v>4.3614161404915048</v>
      </c>
      <c r="AQ15">
        <v>2016</v>
      </c>
    </row>
    <row r="16" spans="1:52" x14ac:dyDescent="0.3">
      <c r="AP16" t="s">
        <v>18</v>
      </c>
      <c r="AQ16">
        <v>2017</v>
      </c>
      <c r="AR16">
        <v>5265158</v>
      </c>
      <c r="AT16">
        <f>AN13/AN9</f>
        <v>1.1734686880567929E-2</v>
      </c>
      <c r="AV16">
        <f>AN18/AN9</f>
        <v>7.9453386345380531E-2</v>
      </c>
      <c r="AX16">
        <f>AN23/AN9</f>
        <v>0.22975641427825558</v>
      </c>
      <c r="AZ16">
        <f>AN28/AN9</f>
        <v>0.67905551249578278</v>
      </c>
    </row>
    <row r="17" spans="1:43" x14ac:dyDescent="0.3">
      <c r="A17" t="s">
        <v>12</v>
      </c>
      <c r="B17" t="s">
        <v>1</v>
      </c>
      <c r="C17">
        <v>3.8324999999999998E-2</v>
      </c>
      <c r="D17">
        <v>3.7400000000000003E-2</v>
      </c>
      <c r="E17">
        <v>4.2197999999999999E-2</v>
      </c>
      <c r="F17">
        <v>4.9771999999999997E-2</v>
      </c>
      <c r="G17">
        <v>4.4157000000000002E-2</v>
      </c>
      <c r="H17">
        <v>5.1464999999999997E-2</v>
      </c>
      <c r="I17">
        <v>9.3785999999999994E-2</v>
      </c>
      <c r="J17">
        <v>6.5040000000000001E-2</v>
      </c>
      <c r="K17">
        <v>7.5950000000000004E-2</v>
      </c>
      <c r="L17">
        <v>7.9204999999999998E-2</v>
      </c>
      <c r="M17">
        <v>8.7279999999999996E-2</v>
      </c>
      <c r="N17">
        <v>8.4863999999999995E-2</v>
      </c>
      <c r="O17">
        <v>0.14274019291000001</v>
      </c>
      <c r="P17">
        <v>9.8964949999999996E-2</v>
      </c>
      <c r="Q17">
        <v>0.10337544</v>
      </c>
      <c r="R17">
        <v>0.1137147</v>
      </c>
      <c r="S17">
        <v>0.113269331</v>
      </c>
      <c r="T17">
        <v>0.14178195569999999</v>
      </c>
      <c r="U17">
        <v>0.13794039</v>
      </c>
      <c r="V17">
        <v>0.1677455437</v>
      </c>
      <c r="W17">
        <v>0.1519773962</v>
      </c>
      <c r="X17">
        <v>0.1755007177</v>
      </c>
      <c r="Y17">
        <v>0.20519427600000001</v>
      </c>
      <c r="Z17">
        <v>0.23923546395</v>
      </c>
      <c r="AA17">
        <v>0.30389369745</v>
      </c>
      <c r="AB17">
        <v>0.20102004300000001</v>
      </c>
      <c r="AC17">
        <v>0.12772022899999999</v>
      </c>
      <c r="AD17">
        <v>0.16623829949999999</v>
      </c>
      <c r="AE17">
        <v>0.13100734920000001</v>
      </c>
      <c r="AF17">
        <v>0.24559640175</v>
      </c>
      <c r="AG17">
        <v>0.20714165861056</v>
      </c>
      <c r="AH17">
        <v>0.17114586295138001</v>
      </c>
      <c r="AI17">
        <v>0.16206615486684001</v>
      </c>
      <c r="AJ17">
        <v>0.19222078475974</v>
      </c>
      <c r="AK17">
        <v>0.21835999431333999</v>
      </c>
      <c r="AL17">
        <v>0.19455738792532001</v>
      </c>
      <c r="AM17">
        <v>0.1859641996226</v>
      </c>
      <c r="AN17">
        <v>0.15107064712066001</v>
      </c>
      <c r="AP17" t="s">
        <v>27</v>
      </c>
      <c r="AQ17">
        <v>2018</v>
      </c>
    </row>
    <row r="18" spans="1:43" x14ac:dyDescent="0.3">
      <c r="B18" t="s">
        <v>4</v>
      </c>
      <c r="C18">
        <f>C17*0.000293071*10^15</f>
        <v>11231946075</v>
      </c>
      <c r="D18">
        <f t="shared" ref="D18:AN18" si="5">D17*0.000293071*10^15</f>
        <v>10960855400</v>
      </c>
      <c r="E18">
        <f t="shared" si="5"/>
        <v>12367010058</v>
      </c>
      <c r="F18">
        <f t="shared" si="5"/>
        <v>14586729812</v>
      </c>
      <c r="G18">
        <f t="shared" si="5"/>
        <v>12941136147</v>
      </c>
      <c r="H18">
        <f t="shared" si="5"/>
        <v>15082899015</v>
      </c>
      <c r="I18">
        <f t="shared" si="5"/>
        <v>27485956806</v>
      </c>
      <c r="J18">
        <f t="shared" si="5"/>
        <v>19061337840</v>
      </c>
      <c r="K18">
        <f t="shared" si="5"/>
        <v>22258742450</v>
      </c>
      <c r="L18">
        <f t="shared" si="5"/>
        <v>23212688555</v>
      </c>
      <c r="M18">
        <f t="shared" si="5"/>
        <v>25579236880</v>
      </c>
      <c r="N18">
        <f t="shared" si="5"/>
        <v>24871177344</v>
      </c>
      <c r="O18">
        <f t="shared" si="5"/>
        <v>41833011076.326614</v>
      </c>
      <c r="P18">
        <f t="shared" si="5"/>
        <v>29003756861.449997</v>
      </c>
      <c r="Q18">
        <f t="shared" si="5"/>
        <v>30296343576.240002</v>
      </c>
      <c r="R18">
        <f t="shared" si="5"/>
        <v>33326480843.700001</v>
      </c>
      <c r="S18">
        <f t="shared" si="5"/>
        <v>33195956105.500999</v>
      </c>
      <c r="T18">
        <f t="shared" si="5"/>
        <v>41552179538.954697</v>
      </c>
      <c r="U18">
        <f t="shared" si="5"/>
        <v>40426328037.689995</v>
      </c>
      <c r="V18">
        <f t="shared" si="5"/>
        <v>49161354237.702698</v>
      </c>
      <c r="W18">
        <f t="shared" si="5"/>
        <v>44540167481.730202</v>
      </c>
      <c r="X18">
        <f t="shared" si="5"/>
        <v>51434170837.056702</v>
      </c>
      <c r="Y18">
        <f t="shared" si="5"/>
        <v>60136491661.596001</v>
      </c>
      <c r="Z18">
        <f t="shared" si="5"/>
        <v>70112976655.290451</v>
      </c>
      <c r="AA18">
        <f t="shared" si="5"/>
        <v>89062429805.368942</v>
      </c>
      <c r="AB18">
        <f t="shared" si="5"/>
        <v>58913145022.053001</v>
      </c>
      <c r="AC18">
        <f t="shared" si="5"/>
        <v>37431095233.258995</v>
      </c>
      <c r="AD18">
        <f t="shared" si="5"/>
        <v>48719624672.764496</v>
      </c>
      <c r="AE18">
        <f t="shared" si="5"/>
        <v>38394454837.393204</v>
      </c>
      <c r="AF18">
        <f t="shared" si="5"/>
        <v>71977183057.274246</v>
      </c>
      <c r="AG18">
        <f t="shared" si="5"/>
        <v>60707213030.655426</v>
      </c>
      <c r="AH18">
        <f t="shared" si="5"/>
        <v>50157889201.023888</v>
      </c>
      <c r="AI18">
        <f t="shared" si="5"/>
        <v>47496890072.979668</v>
      </c>
      <c r="AJ18">
        <f t="shared" si="5"/>
        <v>56334337610.321762</v>
      </c>
      <c r="AK18">
        <f t="shared" si="5"/>
        <v>63994981893.404861</v>
      </c>
      <c r="AL18">
        <f t="shared" si="5"/>
        <v>57019128236.661461</v>
      </c>
      <c r="AM18">
        <f t="shared" si="5"/>
        <v>54500713947.595001</v>
      </c>
      <c r="AN18">
        <f t="shared" si="5"/>
        <v>44274425622.29895</v>
      </c>
      <c r="AQ18">
        <v>2019</v>
      </c>
    </row>
    <row r="19" spans="1:43" x14ac:dyDescent="0.3">
      <c r="A19" t="s">
        <v>8</v>
      </c>
      <c r="B19" t="s">
        <v>5</v>
      </c>
      <c r="C19">
        <f>C18*390</f>
        <v>4380458969250</v>
      </c>
      <c r="D19">
        <f t="shared" ref="D19:AN19" si="6">D18*390</f>
        <v>4274733606000</v>
      </c>
      <c r="E19">
        <f t="shared" si="6"/>
        <v>4823133922620</v>
      </c>
      <c r="F19">
        <f t="shared" si="6"/>
        <v>5688824626680</v>
      </c>
      <c r="G19">
        <f t="shared" si="6"/>
        <v>5047043097330</v>
      </c>
      <c r="H19">
        <f t="shared" si="6"/>
        <v>5882330615850</v>
      </c>
      <c r="I19">
        <f t="shared" si="6"/>
        <v>10719523154340</v>
      </c>
      <c r="J19">
        <f t="shared" si="6"/>
        <v>7433921757600</v>
      </c>
      <c r="K19">
        <f t="shared" si="6"/>
        <v>8680909555500</v>
      </c>
      <c r="L19">
        <f t="shared" si="6"/>
        <v>9052948536450</v>
      </c>
      <c r="M19">
        <f t="shared" si="6"/>
        <v>9975902383200</v>
      </c>
      <c r="N19">
        <f t="shared" si="6"/>
        <v>9699759164160</v>
      </c>
      <c r="O19">
        <f t="shared" si="6"/>
        <v>16314874319767.379</v>
      </c>
      <c r="P19">
        <f t="shared" si="6"/>
        <v>11311465175965.498</v>
      </c>
      <c r="Q19">
        <f t="shared" si="6"/>
        <v>11815573994733.602</v>
      </c>
      <c r="R19">
        <f t="shared" si="6"/>
        <v>12997327529043</v>
      </c>
      <c r="S19">
        <f t="shared" si="6"/>
        <v>12946422881145.391</v>
      </c>
      <c r="T19">
        <f t="shared" si="6"/>
        <v>16205350020192.332</v>
      </c>
      <c r="U19">
        <f t="shared" si="6"/>
        <v>15766267934699.098</v>
      </c>
      <c r="V19">
        <f t="shared" si="6"/>
        <v>19172928152704.051</v>
      </c>
      <c r="W19">
        <f t="shared" si="6"/>
        <v>17370665317874.779</v>
      </c>
      <c r="X19">
        <f t="shared" si="6"/>
        <v>20059326626452.113</v>
      </c>
      <c r="Y19">
        <f t="shared" si="6"/>
        <v>23453231748022.441</v>
      </c>
      <c r="Z19">
        <f t="shared" si="6"/>
        <v>27344060895563.277</v>
      </c>
      <c r="AA19">
        <f t="shared" si="6"/>
        <v>34734347624093.887</v>
      </c>
      <c r="AB19">
        <f t="shared" si="6"/>
        <v>22976126558600.672</v>
      </c>
      <c r="AC19">
        <f t="shared" si="6"/>
        <v>14598127140971.008</v>
      </c>
      <c r="AD19">
        <f t="shared" si="6"/>
        <v>19000653622378.152</v>
      </c>
      <c r="AE19">
        <f t="shared" si="6"/>
        <v>14973837386583.35</v>
      </c>
      <c r="AF19">
        <f t="shared" si="6"/>
        <v>28071101392336.957</v>
      </c>
      <c r="AG19">
        <f t="shared" si="6"/>
        <v>23675813081955.617</v>
      </c>
      <c r="AH19">
        <f t="shared" si="6"/>
        <v>19561576788399.316</v>
      </c>
      <c r="AI19">
        <f t="shared" si="6"/>
        <v>18523787128462.07</v>
      </c>
      <c r="AJ19">
        <f t="shared" si="6"/>
        <v>21970391668025.488</v>
      </c>
      <c r="AK19">
        <f t="shared" si="6"/>
        <v>24958042938427.895</v>
      </c>
      <c r="AL19">
        <f t="shared" si="6"/>
        <v>22237460012297.969</v>
      </c>
      <c r="AM19">
        <f t="shared" si="6"/>
        <v>21255278439562.051</v>
      </c>
      <c r="AN19">
        <f t="shared" si="6"/>
        <v>17267025992696.59</v>
      </c>
      <c r="AQ19">
        <v>2020</v>
      </c>
    </row>
    <row r="20" spans="1:43" x14ac:dyDescent="0.3">
      <c r="B20" t="s">
        <v>10</v>
      </c>
      <c r="C20">
        <f>C19/C10*100</f>
        <v>3.5108018743032465</v>
      </c>
      <c r="D20">
        <f t="shared" ref="D20:AN20" si="7">D19/D10*100</f>
        <v>3.6692356545238578</v>
      </c>
      <c r="E20">
        <f t="shared" si="7"/>
        <v>4.4841994046440634</v>
      </c>
      <c r="F20">
        <f t="shared" si="7"/>
        <v>5.2855354188283101</v>
      </c>
      <c r="G20">
        <f t="shared" si="7"/>
        <v>4.3599610834470388</v>
      </c>
      <c r="H20">
        <f t="shared" si="7"/>
        <v>4.8783588952010213</v>
      </c>
      <c r="I20">
        <f t="shared" si="7"/>
        <v>8.374358419427768</v>
      </c>
      <c r="J20">
        <f t="shared" si="7"/>
        <v>5.9618493755338777</v>
      </c>
      <c r="K20">
        <f t="shared" si="7"/>
        <v>7.1004000347942089</v>
      </c>
      <c r="L20">
        <f t="shared" si="7"/>
        <v>7.6333852325946108</v>
      </c>
      <c r="M20">
        <f t="shared" si="7"/>
        <v>7.9904355739895188</v>
      </c>
      <c r="N20">
        <f t="shared" si="7"/>
        <v>8.2074356121063765</v>
      </c>
      <c r="O20">
        <f t="shared" si="7"/>
        <v>13.021237193965419</v>
      </c>
      <c r="P20">
        <f t="shared" si="7"/>
        <v>9.1656066491428749</v>
      </c>
      <c r="Q20">
        <f t="shared" si="7"/>
        <v>9.2785428932289022</v>
      </c>
      <c r="R20">
        <f t="shared" si="7"/>
        <v>9.7158977200150893</v>
      </c>
      <c r="S20">
        <f t="shared" si="7"/>
        <v>9.3060731712114055</v>
      </c>
      <c r="T20">
        <f t="shared" si="7"/>
        <v>11.355399031121989</v>
      </c>
      <c r="U20">
        <f t="shared" si="7"/>
        <v>10.932860563102226</v>
      </c>
      <c r="V20">
        <f t="shared" si="7"/>
        <v>12.962682458383018</v>
      </c>
      <c r="W20">
        <f t="shared" si="7"/>
        <v>12.398823520952847</v>
      </c>
      <c r="X20">
        <f t="shared" si="7"/>
        <v>13.744475291621866</v>
      </c>
      <c r="Y20">
        <f t="shared" si="7"/>
        <v>15.905075413378434</v>
      </c>
      <c r="Z20">
        <f t="shared" si="7"/>
        <v>17.498298004072684</v>
      </c>
      <c r="AA20">
        <f t="shared" si="7"/>
        <v>21.908384524998496</v>
      </c>
      <c r="AB20">
        <f t="shared" si="7"/>
        <v>15.308616550507107</v>
      </c>
      <c r="AC20">
        <f t="shared" si="7"/>
        <v>10.074168160781594</v>
      </c>
      <c r="AD20">
        <f t="shared" si="7"/>
        <v>12.147069660522673</v>
      </c>
      <c r="AE20">
        <f t="shared" si="7"/>
        <v>10.381025337575057</v>
      </c>
      <c r="AF20">
        <f t="shared" si="7"/>
        <v>18.076719756032588</v>
      </c>
      <c r="AG20">
        <f t="shared" si="7"/>
        <v>16.274044837479057</v>
      </c>
      <c r="AH20">
        <f t="shared" si="7"/>
        <v>13.910349896426883</v>
      </c>
      <c r="AI20">
        <f t="shared" si="7"/>
        <v>13.294423628471838</v>
      </c>
      <c r="AJ20">
        <f t="shared" si="7"/>
        <v>15.473611972416634</v>
      </c>
      <c r="AK20">
        <f t="shared" si="7"/>
        <v>17.640888160405062</v>
      </c>
      <c r="AL20">
        <f t="shared" si="7"/>
        <v>15.273223192077602</v>
      </c>
      <c r="AM20">
        <f t="shared" si="7"/>
        <v>14.489876235095563</v>
      </c>
      <c r="AN20">
        <f t="shared" si="7"/>
        <v>12.122981273034437</v>
      </c>
      <c r="AQ20">
        <v>2021</v>
      </c>
    </row>
    <row r="21" spans="1:43" x14ac:dyDescent="0.3">
      <c r="AQ21">
        <v>2022</v>
      </c>
    </row>
    <row r="22" spans="1:43" x14ac:dyDescent="0.3">
      <c r="A22" t="s">
        <v>13</v>
      </c>
      <c r="B22" t="s">
        <v>1</v>
      </c>
      <c r="C22">
        <v>0.42369990000000002</v>
      </c>
      <c r="D22">
        <v>0.38822385500000001</v>
      </c>
      <c r="E22">
        <v>0.35113073</v>
      </c>
      <c r="F22">
        <v>0.34494872500000001</v>
      </c>
      <c r="G22">
        <v>0.37714801399999998</v>
      </c>
      <c r="H22">
        <v>0.39268531800000001</v>
      </c>
      <c r="I22">
        <v>0.40619242900000002</v>
      </c>
      <c r="J22">
        <v>0.40442631200000001</v>
      </c>
      <c r="K22">
        <v>0.39023986599999999</v>
      </c>
      <c r="L22">
        <v>0.37888896</v>
      </c>
      <c r="M22">
        <v>0.39990754899999997</v>
      </c>
      <c r="N22">
        <v>0.37921444100000001</v>
      </c>
      <c r="O22">
        <v>0.38006961700000003</v>
      </c>
      <c r="P22">
        <v>0.38951849399999999</v>
      </c>
      <c r="Q22">
        <v>0.40060378899999999</v>
      </c>
      <c r="R22">
        <v>0.41658186000000003</v>
      </c>
      <c r="S22">
        <v>0.44105895000000001</v>
      </c>
      <c r="T22">
        <v>0.44220939100000001</v>
      </c>
      <c r="U22">
        <v>0.44557409199999998</v>
      </c>
      <c r="V22">
        <v>0.44684689999999999</v>
      </c>
      <c r="W22">
        <v>0.42040334000000001</v>
      </c>
      <c r="X22">
        <v>0.43889256599999998</v>
      </c>
      <c r="Y22">
        <v>0.43382647600000002</v>
      </c>
      <c r="Z22">
        <v>0.45806925100000001</v>
      </c>
      <c r="AA22">
        <v>0.434596959</v>
      </c>
      <c r="AB22">
        <v>0.44699129599999998</v>
      </c>
      <c r="AC22">
        <v>0.46541466799999998</v>
      </c>
      <c r="AD22">
        <v>0.48922866399999998</v>
      </c>
      <c r="AE22">
        <v>0.45580036899999998</v>
      </c>
      <c r="AF22">
        <v>0.45595674800000002</v>
      </c>
      <c r="AG22">
        <v>0.430461121</v>
      </c>
      <c r="AH22">
        <v>0.42665835400000002</v>
      </c>
      <c r="AI22">
        <v>0.42168671299999999</v>
      </c>
      <c r="AJ22">
        <v>0.41952330599999998</v>
      </c>
      <c r="AK22">
        <v>0.40376153100000001</v>
      </c>
      <c r="AL22">
        <v>0.43285017599999998</v>
      </c>
      <c r="AM22">
        <v>0.440283702</v>
      </c>
      <c r="AN22">
        <v>0.43685299999999999</v>
      </c>
      <c r="AQ22">
        <v>2023</v>
      </c>
    </row>
    <row r="23" spans="1:43" x14ac:dyDescent="0.3">
      <c r="B23" t="s">
        <v>4</v>
      </c>
      <c r="C23">
        <f>C22*0.000293071*10^15</f>
        <v>124174153392.90001</v>
      </c>
      <c r="D23">
        <f t="shared" ref="D23:AN23" si="8">D22*0.000293071*10^15</f>
        <v>113777153408.705</v>
      </c>
      <c r="E23">
        <f t="shared" si="8"/>
        <v>102906234171.83</v>
      </c>
      <c r="F23">
        <f t="shared" si="8"/>
        <v>101094467784.47501</v>
      </c>
      <c r="G23">
        <f t="shared" si="8"/>
        <v>110531145610.99399</v>
      </c>
      <c r="H23">
        <f t="shared" si="8"/>
        <v>115084678831.578</v>
      </c>
      <c r="I23">
        <f t="shared" si="8"/>
        <v>119043221359.459</v>
      </c>
      <c r="J23">
        <f t="shared" si="8"/>
        <v>118525623684.15201</v>
      </c>
      <c r="K23">
        <f t="shared" si="8"/>
        <v>114367987768.48599</v>
      </c>
      <c r="L23">
        <f t="shared" si="8"/>
        <v>111041366396.16</v>
      </c>
      <c r="M23">
        <f t="shared" si="8"/>
        <v>117201305292.979</v>
      </c>
      <c r="N23">
        <f t="shared" si="8"/>
        <v>111136755438.311</v>
      </c>
      <c r="O23">
        <f t="shared" si="8"/>
        <v>111387382723.80701</v>
      </c>
      <c r="P23">
        <f t="shared" si="8"/>
        <v>114156574555.07399</v>
      </c>
      <c r="Q23">
        <f t="shared" si="8"/>
        <v>117405353046.019</v>
      </c>
      <c r="R23">
        <f t="shared" si="8"/>
        <v>122088062292.06001</v>
      </c>
      <c r="S23">
        <f t="shared" si="8"/>
        <v>129261587535.45001</v>
      </c>
      <c r="T23">
        <f t="shared" si="8"/>
        <v>129598748429.76102</v>
      </c>
      <c r="U23">
        <f t="shared" si="8"/>
        <v>130584844716.53198</v>
      </c>
      <c r="V23">
        <f t="shared" si="8"/>
        <v>130957867829.89999</v>
      </c>
      <c r="W23">
        <f t="shared" si="8"/>
        <v>123208027257.14001</v>
      </c>
      <c r="X23">
        <f t="shared" si="8"/>
        <v>128626683210.186</v>
      </c>
      <c r="Y23">
        <f t="shared" si="8"/>
        <v>127141959147.79601</v>
      </c>
      <c r="Z23">
        <f t="shared" si="8"/>
        <v>134246813459.82101</v>
      </c>
      <c r="AA23">
        <f t="shared" si="8"/>
        <v>127367765371.08899</v>
      </c>
      <c r="AB23">
        <f t="shared" si="8"/>
        <v>131000186110.01601</v>
      </c>
      <c r="AC23">
        <f t="shared" si="8"/>
        <v>136399542165.42799</v>
      </c>
      <c r="AD23">
        <f t="shared" si="8"/>
        <v>143378733787.14401</v>
      </c>
      <c r="AE23">
        <f t="shared" si="8"/>
        <v>133581869943.19899</v>
      </c>
      <c r="AF23">
        <f t="shared" si="8"/>
        <v>133627700093.10802</v>
      </c>
      <c r="AG23">
        <f t="shared" si="8"/>
        <v>126155671192.591</v>
      </c>
      <c r="AH23">
        <f t="shared" si="8"/>
        <v>125041190465.134</v>
      </c>
      <c r="AI23">
        <f t="shared" si="8"/>
        <v>123584146665.623</v>
      </c>
      <c r="AJ23">
        <f t="shared" si="8"/>
        <v>122950114812.72598</v>
      </c>
      <c r="AK23">
        <f t="shared" si="8"/>
        <v>118330795651.701</v>
      </c>
      <c r="AL23">
        <f t="shared" si="8"/>
        <v>126855833930.49599</v>
      </c>
      <c r="AM23">
        <f t="shared" si="8"/>
        <v>129034384828.84201</v>
      </c>
      <c r="AN23">
        <f t="shared" si="8"/>
        <v>128028945563</v>
      </c>
      <c r="AQ23">
        <v>2024</v>
      </c>
    </row>
    <row r="24" spans="1:43" x14ac:dyDescent="0.3">
      <c r="A24" t="s">
        <v>6</v>
      </c>
      <c r="B24" t="s">
        <v>5</v>
      </c>
      <c r="C24">
        <f>C23*870</f>
        <v>108031513451823.02</v>
      </c>
      <c r="D24">
        <f t="shared" ref="D24:AN24" si="9">D23*870</f>
        <v>98986123465573.359</v>
      </c>
      <c r="E24">
        <f t="shared" si="9"/>
        <v>89528423729492.109</v>
      </c>
      <c r="F24">
        <f t="shared" si="9"/>
        <v>87952186972493.25</v>
      </c>
      <c r="G24">
        <f t="shared" si="9"/>
        <v>96162096681564.766</v>
      </c>
      <c r="H24">
        <f t="shared" si="9"/>
        <v>100123670583472.86</v>
      </c>
      <c r="I24">
        <f t="shared" si="9"/>
        <v>103567602582729.33</v>
      </c>
      <c r="J24">
        <f t="shared" si="9"/>
        <v>103117292605212.25</v>
      </c>
      <c r="K24">
        <f t="shared" si="9"/>
        <v>99500149358582.813</v>
      </c>
      <c r="L24">
        <f t="shared" si="9"/>
        <v>96605988764659.203</v>
      </c>
      <c r="M24">
        <f t="shared" si="9"/>
        <v>101965135604891.73</v>
      </c>
      <c r="N24">
        <f t="shared" si="9"/>
        <v>96688977231330.578</v>
      </c>
      <c r="O24">
        <f t="shared" si="9"/>
        <v>96907022969712.094</v>
      </c>
      <c r="P24">
        <f t="shared" si="9"/>
        <v>99316219862914.375</v>
      </c>
      <c r="Q24">
        <f t="shared" si="9"/>
        <v>102142657150036.53</v>
      </c>
      <c r="R24">
        <f t="shared" si="9"/>
        <v>106216614194092.22</v>
      </c>
      <c r="S24">
        <f t="shared" si="9"/>
        <v>112457581155841.52</v>
      </c>
      <c r="T24">
        <f t="shared" si="9"/>
        <v>112750911133892.08</v>
      </c>
      <c r="U24">
        <f t="shared" si="9"/>
        <v>113608814903382.83</v>
      </c>
      <c r="V24">
        <f t="shared" si="9"/>
        <v>113933345012013</v>
      </c>
      <c r="W24">
        <f t="shared" si="9"/>
        <v>107190983713711.81</v>
      </c>
      <c r="X24">
        <f t="shared" si="9"/>
        <v>111905214392861.83</v>
      </c>
      <c r="Y24">
        <f t="shared" si="9"/>
        <v>110613504458582.53</v>
      </c>
      <c r="Z24">
        <f t="shared" si="9"/>
        <v>116794727710044.28</v>
      </c>
      <c r="AA24">
        <f t="shared" si="9"/>
        <v>110809955872847.42</v>
      </c>
      <c r="AB24">
        <f t="shared" si="9"/>
        <v>113970161915713.92</v>
      </c>
      <c r="AC24">
        <f t="shared" si="9"/>
        <v>118667601683922.36</v>
      </c>
      <c r="AD24">
        <f t="shared" si="9"/>
        <v>124739498394815.3</v>
      </c>
      <c r="AE24">
        <f t="shared" si="9"/>
        <v>116216226850583.13</v>
      </c>
      <c r="AF24">
        <f t="shared" si="9"/>
        <v>116256099081003.97</v>
      </c>
      <c r="AG24">
        <f t="shared" si="9"/>
        <v>109755433937554.17</v>
      </c>
      <c r="AH24">
        <f t="shared" si="9"/>
        <v>108785835704666.58</v>
      </c>
      <c r="AI24">
        <f t="shared" si="9"/>
        <v>107518207599092.02</v>
      </c>
      <c r="AJ24">
        <f t="shared" si="9"/>
        <v>106966599887071.61</v>
      </c>
      <c r="AK24">
        <f t="shared" si="9"/>
        <v>102947792216979.88</v>
      </c>
      <c r="AL24">
        <f t="shared" si="9"/>
        <v>110364575519531.52</v>
      </c>
      <c r="AM24">
        <f t="shared" si="9"/>
        <v>112259914801092.55</v>
      </c>
      <c r="AN24">
        <f t="shared" si="9"/>
        <v>111385182639810</v>
      </c>
      <c r="AQ24">
        <v>2025</v>
      </c>
    </row>
    <row r="25" spans="1:43" x14ac:dyDescent="0.3">
      <c r="B25" t="s">
        <v>10</v>
      </c>
      <c r="C25">
        <f>C24/C10*100</f>
        <v>86.583904237645342</v>
      </c>
      <c r="D25">
        <f t="shared" ref="D25:AN25" si="10">D24/D10*100</f>
        <v>84.965157364003105</v>
      </c>
      <c r="E25">
        <f t="shared" si="10"/>
        <v>83.237021991798414</v>
      </c>
      <c r="F25">
        <f t="shared" si="10"/>
        <v>81.71712610480381</v>
      </c>
      <c r="G25">
        <f t="shared" si="10"/>
        <v>83.071016266156633</v>
      </c>
      <c r="H25">
        <f t="shared" si="10"/>
        <v>83.034978974992882</v>
      </c>
      <c r="I25">
        <f t="shared" si="10"/>
        <v>80.90959011712016</v>
      </c>
      <c r="J25">
        <f t="shared" si="10"/>
        <v>82.697906511677331</v>
      </c>
      <c r="K25">
        <f t="shared" si="10"/>
        <v>81.384428607494939</v>
      </c>
      <c r="L25">
        <f t="shared" si="10"/>
        <v>81.457519066547633</v>
      </c>
      <c r="M25">
        <f t="shared" si="10"/>
        <v>81.671393278273413</v>
      </c>
      <c r="N25">
        <f t="shared" si="10"/>
        <v>81.81322253430281</v>
      </c>
      <c r="O25">
        <f t="shared" si="10"/>
        <v>77.343490799729793</v>
      </c>
      <c r="P25">
        <f t="shared" si="10"/>
        <v>80.475286886569492</v>
      </c>
      <c r="Q25">
        <f t="shared" si="10"/>
        <v>80.210663148265937</v>
      </c>
      <c r="R25">
        <f t="shared" si="10"/>
        <v>79.400150328602876</v>
      </c>
      <c r="S25">
        <f t="shared" si="10"/>
        <v>80.836111140617788</v>
      </c>
      <c r="T25">
        <f t="shared" si="10"/>
        <v>79.00672219067097</v>
      </c>
      <c r="U25">
        <f t="shared" si="10"/>
        <v>78.78017405402413</v>
      </c>
      <c r="V25">
        <f t="shared" si="10"/>
        <v>77.029536701405192</v>
      </c>
      <c r="W25">
        <f t="shared" si="10"/>
        <v>76.510718834472698</v>
      </c>
      <c r="X25">
        <f t="shared" si="10"/>
        <v>76.676474882166886</v>
      </c>
      <c r="Y25">
        <f t="shared" si="10"/>
        <v>75.013804027249705</v>
      </c>
      <c r="Z25">
        <f t="shared" si="10"/>
        <v>74.740506122354461</v>
      </c>
      <c r="AA25">
        <f t="shared" si="10"/>
        <v>69.892405889796436</v>
      </c>
      <c r="AB25">
        <f t="shared" si="10"/>
        <v>75.936450929487435</v>
      </c>
      <c r="AC25">
        <f t="shared" si="10"/>
        <v>81.892516968513306</v>
      </c>
      <c r="AD25">
        <f t="shared" si="10"/>
        <v>79.745644888548327</v>
      </c>
      <c r="AE25">
        <f t="shared" si="10"/>
        <v>80.57010133249176</v>
      </c>
      <c r="AF25">
        <f t="shared" si="10"/>
        <v>74.864498319633327</v>
      </c>
      <c r="AG25">
        <f t="shared" si="10"/>
        <v>75.442598185489246</v>
      </c>
      <c r="AH25">
        <f t="shared" si="10"/>
        <v>77.358234195339975</v>
      </c>
      <c r="AI25">
        <f t="shared" si="10"/>
        <v>77.165246484614727</v>
      </c>
      <c r="AJ25">
        <f t="shared" si="10"/>
        <v>75.335919617223766</v>
      </c>
      <c r="AK25">
        <f t="shared" si="10"/>
        <v>72.765741021469537</v>
      </c>
      <c r="AL25">
        <f t="shared" si="10"/>
        <v>75.801048927193563</v>
      </c>
      <c r="AM25">
        <f t="shared" si="10"/>
        <v>76.528391583080051</v>
      </c>
      <c r="AN25">
        <f t="shared" si="10"/>
        <v>78.202261571105552</v>
      </c>
      <c r="AQ25">
        <v>2026</v>
      </c>
    </row>
    <row r="26" spans="1:43" x14ac:dyDescent="0.3">
      <c r="AQ26">
        <v>2027</v>
      </c>
    </row>
    <row r="27" spans="1:43" x14ac:dyDescent="0.3">
      <c r="A27" t="s">
        <v>14</v>
      </c>
      <c r="B27" t="s">
        <v>1</v>
      </c>
      <c r="C27">
        <v>0.87177460772159998</v>
      </c>
      <c r="D27">
        <v>0.95450620840199996</v>
      </c>
      <c r="E27">
        <v>0.94737516085474005</v>
      </c>
      <c r="F27">
        <v>1.0654736438024</v>
      </c>
      <c r="G27">
        <v>1.0818415344337</v>
      </c>
      <c r="H27">
        <v>1.0744849249535</v>
      </c>
      <c r="I27">
        <v>1.0165010711808</v>
      </c>
      <c r="J27">
        <v>1.0759361046752001</v>
      </c>
      <c r="K27">
        <v>1.1088529483133001</v>
      </c>
      <c r="L27">
        <v>1.1930785420376999</v>
      </c>
      <c r="M27">
        <v>1.2108396503548999</v>
      </c>
      <c r="N27">
        <v>1.1449847924043</v>
      </c>
      <c r="O27">
        <v>1.1810066752265</v>
      </c>
      <c r="P27">
        <v>1.2052678605450999</v>
      </c>
      <c r="Q27">
        <v>1.1567792361650999</v>
      </c>
      <c r="R27">
        <v>1.2357625297728001</v>
      </c>
      <c r="S27">
        <v>1.1144701140858</v>
      </c>
      <c r="T27">
        <v>1.1405250294489999</v>
      </c>
      <c r="U27">
        <v>1.1995382418288001</v>
      </c>
      <c r="V27">
        <v>1.24260219907</v>
      </c>
      <c r="W27">
        <v>1.3859516369986999</v>
      </c>
      <c r="X27">
        <v>1.2609083580966001</v>
      </c>
      <c r="Y27">
        <v>1.2844253554367</v>
      </c>
      <c r="Z27">
        <v>1.1022677745891001</v>
      </c>
      <c r="AA27">
        <v>1.1370635207463</v>
      </c>
      <c r="AB27">
        <v>1.3222029123301</v>
      </c>
      <c r="AC27">
        <v>1.1968900553680999</v>
      </c>
      <c r="AD27">
        <v>1.3002713897184</v>
      </c>
      <c r="AE27">
        <v>1.3353879868987999</v>
      </c>
      <c r="AF27">
        <v>1.1999378201344</v>
      </c>
      <c r="AG27">
        <v>1.1862649651265</v>
      </c>
      <c r="AH27">
        <v>1.1829322362782999</v>
      </c>
      <c r="AI27">
        <v>1.3150652279604</v>
      </c>
      <c r="AJ27">
        <v>1.2350985160642001</v>
      </c>
      <c r="AK27">
        <v>1.2678843224526</v>
      </c>
      <c r="AL27">
        <v>1.2633726904674001</v>
      </c>
      <c r="AM27">
        <v>1.2949895691180999</v>
      </c>
      <c r="AN27">
        <v>1.2911388730199</v>
      </c>
      <c r="AQ27">
        <v>2028</v>
      </c>
    </row>
    <row r="28" spans="1:43" x14ac:dyDescent="0.3">
      <c r="B28" t="s">
        <v>4</v>
      </c>
      <c r="C28">
        <f>C27*0.000293071*10^15</f>
        <v>255491856059.577</v>
      </c>
      <c r="D28">
        <f t="shared" ref="D28:AN28" si="11">D27*0.000293071*10^15</f>
        <v>279738089002.58252</v>
      </c>
      <c r="E28">
        <f t="shared" si="11"/>
        <v>277648185766.85956</v>
      </c>
      <c r="F28">
        <f t="shared" si="11"/>
        <v>312259426262.81311</v>
      </c>
      <c r="G28">
        <f t="shared" si="11"/>
        <v>317056380338.01892</v>
      </c>
      <c r="H28">
        <f t="shared" si="11"/>
        <v>314900371441.04718</v>
      </c>
      <c r="I28">
        <f t="shared" si="11"/>
        <v>297906985432.02826</v>
      </c>
      <c r="J28">
        <f t="shared" si="11"/>
        <v>315325670133.26556</v>
      </c>
      <c r="K28">
        <f t="shared" si="11"/>
        <v>324972642415.12714</v>
      </c>
      <c r="L28">
        <f t="shared" si="11"/>
        <v>349656721393.53076</v>
      </c>
      <c r="M28">
        <f t="shared" si="11"/>
        <v>354861987169.16083</v>
      </c>
      <c r="N28">
        <f t="shared" si="11"/>
        <v>335561838094.72058</v>
      </c>
      <c r="O28">
        <f t="shared" si="11"/>
        <v>346118807315.3056</v>
      </c>
      <c r="P28">
        <f t="shared" si="11"/>
        <v>353229057157.81299</v>
      </c>
      <c r="Q28">
        <f t="shared" si="11"/>
        <v>339018447522.14203</v>
      </c>
      <c r="R28">
        <f t="shared" si="11"/>
        <v>362166160363.04431</v>
      </c>
      <c r="S28">
        <f t="shared" si="11"/>
        <v>326618870805.2395</v>
      </c>
      <c r="T28">
        <f t="shared" si="11"/>
        <v>334254810905.64783</v>
      </c>
      <c r="U28">
        <f t="shared" si="11"/>
        <v>351549872071.0083</v>
      </c>
      <c r="V28">
        <f t="shared" si="11"/>
        <v>364170669083.64398</v>
      </c>
      <c r="W28">
        <f t="shared" si="11"/>
        <v>406182232206.84595</v>
      </c>
      <c r="X28">
        <f t="shared" si="11"/>
        <v>369535673415.72864</v>
      </c>
      <c r="Y28">
        <f t="shared" si="11"/>
        <v>376427823343.18915</v>
      </c>
      <c r="Z28">
        <f t="shared" si="11"/>
        <v>323042718966.60211</v>
      </c>
      <c r="AA28">
        <f t="shared" si="11"/>
        <v>333240343088.63885</v>
      </c>
      <c r="AB28">
        <f t="shared" si="11"/>
        <v>387499329719.49475</v>
      </c>
      <c r="AC28">
        <f t="shared" si="11"/>
        <v>350773765416.78442</v>
      </c>
      <c r="AD28">
        <f t="shared" si="11"/>
        <v>381071836456.16119</v>
      </c>
      <c r="AE28">
        <f t="shared" si="11"/>
        <v>391363492708.41815</v>
      </c>
      <c r="AF28">
        <f t="shared" si="11"/>
        <v>351666976884.6087</v>
      </c>
      <c r="AG28">
        <f t="shared" si="11"/>
        <v>347659859594.5885</v>
      </c>
      <c r="AH28">
        <f t="shared" si="11"/>
        <v>346683133418.31763</v>
      </c>
      <c r="AI28">
        <f t="shared" si="11"/>
        <v>385407481423.5824</v>
      </c>
      <c r="AJ28">
        <f t="shared" si="11"/>
        <v>361971557201.45117</v>
      </c>
      <c r="AK28">
        <f t="shared" si="11"/>
        <v>371580126265.50592</v>
      </c>
      <c r="AL28">
        <f t="shared" si="11"/>
        <v>370257897767.97144</v>
      </c>
      <c r="AM28">
        <f t="shared" si="11"/>
        <v>379523888011.01062</v>
      </c>
      <c r="AN28">
        <f t="shared" si="11"/>
        <v>378395360654.81512</v>
      </c>
      <c r="AQ28">
        <v>2029</v>
      </c>
    </row>
    <row r="29" spans="1:43" x14ac:dyDescent="0.3">
      <c r="A29" t="s">
        <v>7</v>
      </c>
      <c r="B29" t="s">
        <v>5</v>
      </c>
      <c r="C29">
        <f>C28*20</f>
        <v>5109837121191.54</v>
      </c>
      <c r="D29">
        <f t="shared" ref="D29:AN29" si="12">D28*20</f>
        <v>5594761780051.6504</v>
      </c>
      <c r="E29">
        <f t="shared" si="12"/>
        <v>5552963715337.1914</v>
      </c>
      <c r="F29">
        <f t="shared" si="12"/>
        <v>6245188525256.2617</v>
      </c>
      <c r="G29">
        <f t="shared" si="12"/>
        <v>6341127606760.3789</v>
      </c>
      <c r="H29">
        <f t="shared" si="12"/>
        <v>6298007428820.9434</v>
      </c>
      <c r="I29">
        <f t="shared" si="12"/>
        <v>5958139708640.5654</v>
      </c>
      <c r="J29">
        <f t="shared" si="12"/>
        <v>6306513402665.3115</v>
      </c>
      <c r="K29">
        <f t="shared" si="12"/>
        <v>6499452848302.543</v>
      </c>
      <c r="L29">
        <f t="shared" si="12"/>
        <v>6993134427870.6152</v>
      </c>
      <c r="M29">
        <f t="shared" si="12"/>
        <v>7097239743383.2168</v>
      </c>
      <c r="N29">
        <f t="shared" si="12"/>
        <v>6711236761894.4121</v>
      </c>
      <c r="O29">
        <f t="shared" si="12"/>
        <v>6922376146306.1123</v>
      </c>
      <c r="P29">
        <f t="shared" si="12"/>
        <v>7064581143156.2598</v>
      </c>
      <c r="Q29">
        <f t="shared" si="12"/>
        <v>6780368950442.8408</v>
      </c>
      <c r="R29">
        <f t="shared" si="12"/>
        <v>7243323207260.8867</v>
      </c>
      <c r="S29">
        <f t="shared" si="12"/>
        <v>6532377416104.79</v>
      </c>
      <c r="T29">
        <f t="shared" si="12"/>
        <v>6685096218112.957</v>
      </c>
      <c r="U29">
        <f t="shared" si="12"/>
        <v>7030997441420.166</v>
      </c>
      <c r="V29">
        <f t="shared" si="12"/>
        <v>7283413381672.8799</v>
      </c>
      <c r="W29">
        <f t="shared" si="12"/>
        <v>8123644644136.9189</v>
      </c>
      <c r="X29">
        <f t="shared" si="12"/>
        <v>7390713468314.5723</v>
      </c>
      <c r="Y29">
        <f t="shared" si="12"/>
        <v>7528556466863.7832</v>
      </c>
      <c r="Z29">
        <f t="shared" si="12"/>
        <v>6460854379332.042</v>
      </c>
      <c r="AA29">
        <f t="shared" si="12"/>
        <v>6664806861772.7773</v>
      </c>
      <c r="AB29">
        <f t="shared" si="12"/>
        <v>7749986594389.8945</v>
      </c>
      <c r="AC29">
        <f t="shared" si="12"/>
        <v>7015475308335.6885</v>
      </c>
      <c r="AD29">
        <f t="shared" si="12"/>
        <v>7621436729123.2236</v>
      </c>
      <c r="AE29">
        <f t="shared" si="12"/>
        <v>7827269854168.3633</v>
      </c>
      <c r="AF29">
        <f t="shared" si="12"/>
        <v>7033339537692.1738</v>
      </c>
      <c r="AG29">
        <f t="shared" si="12"/>
        <v>6953197191891.7695</v>
      </c>
      <c r="AH29">
        <f t="shared" si="12"/>
        <v>6933662668366.3525</v>
      </c>
      <c r="AI29">
        <f t="shared" si="12"/>
        <v>7708149628471.6484</v>
      </c>
      <c r="AJ29">
        <f t="shared" si="12"/>
        <v>7239431144029.0234</v>
      </c>
      <c r="AK29">
        <f t="shared" si="12"/>
        <v>7431602525310.1182</v>
      </c>
      <c r="AL29">
        <f t="shared" si="12"/>
        <v>7405157955359.4287</v>
      </c>
      <c r="AM29">
        <f t="shared" si="12"/>
        <v>7590477760220.2129</v>
      </c>
      <c r="AN29">
        <f t="shared" si="12"/>
        <v>7567907213096.3027</v>
      </c>
      <c r="AQ29">
        <v>2030</v>
      </c>
    </row>
    <row r="30" spans="1:43" x14ac:dyDescent="0.3">
      <c r="B30" t="s">
        <v>10</v>
      </c>
      <c r="C30">
        <f>C29/C10*100</f>
        <v>4.0953758198390551</v>
      </c>
      <c r="D30">
        <f t="shared" ref="D30:AN30" si="13">D29/D10*100</f>
        <v>4.8022874157863678</v>
      </c>
      <c r="E30">
        <f t="shared" si="13"/>
        <v>5.1627421062359247</v>
      </c>
      <c r="F30">
        <f t="shared" si="13"/>
        <v>5.8024578561786795</v>
      </c>
      <c r="G30">
        <f t="shared" si="13"/>
        <v>5.4778746797848488</v>
      </c>
      <c r="H30">
        <f t="shared" si="13"/>
        <v>5.2230897188343661</v>
      </c>
      <c r="I30">
        <f t="shared" si="13"/>
        <v>4.6546471064787864</v>
      </c>
      <c r="J30">
        <f t="shared" si="13"/>
        <v>5.0576915143124506</v>
      </c>
      <c r="K30">
        <f t="shared" si="13"/>
        <v>5.3161151991258864</v>
      </c>
      <c r="L30">
        <f t="shared" si="13"/>
        <v>5.8965638494824928</v>
      </c>
      <c r="M30">
        <f t="shared" si="13"/>
        <v>5.6847024704416205</v>
      </c>
      <c r="N30">
        <f t="shared" si="13"/>
        <v>5.6787021892640759</v>
      </c>
      <c r="O30">
        <f t="shared" si="13"/>
        <v>5.5248909663795285</v>
      </c>
      <c r="P30">
        <f t="shared" si="13"/>
        <v>5.7243841440368941</v>
      </c>
      <c r="Q30">
        <f t="shared" si="13"/>
        <v>5.3244932634370734</v>
      </c>
      <c r="R30">
        <f t="shared" si="13"/>
        <v>5.4146044467604648</v>
      </c>
      <c r="S30">
        <f t="shared" si="13"/>
        <v>4.6955659315572902</v>
      </c>
      <c r="T30">
        <f t="shared" si="13"/>
        <v>4.6843749146750113</v>
      </c>
      <c r="U30">
        <f t="shared" si="13"/>
        <v>4.8755301486028086</v>
      </c>
      <c r="V30">
        <f t="shared" si="13"/>
        <v>4.9242647824999919</v>
      </c>
      <c r="W30">
        <f t="shared" si="13"/>
        <v>5.7984904116447815</v>
      </c>
      <c r="X30">
        <f t="shared" si="13"/>
        <v>5.0640522757504582</v>
      </c>
      <c r="Y30">
        <f t="shared" si="13"/>
        <v>5.1055760521977076</v>
      </c>
      <c r="Z30">
        <f t="shared" si="13"/>
        <v>4.1344976418193156</v>
      </c>
      <c r="AA30">
        <f t="shared" si="13"/>
        <v>4.2037683589969417</v>
      </c>
      <c r="AB30">
        <f t="shared" si="13"/>
        <v>5.163689046649778</v>
      </c>
      <c r="AC30">
        <f t="shared" si="13"/>
        <v>4.8413798086213831</v>
      </c>
      <c r="AD30">
        <f t="shared" si="13"/>
        <v>4.8723651671062171</v>
      </c>
      <c r="AE30">
        <f t="shared" si="13"/>
        <v>5.4264704886513764</v>
      </c>
      <c r="AF30">
        <f t="shared" si="13"/>
        <v>4.529202684102474</v>
      </c>
      <c r="AG30">
        <f t="shared" si="13"/>
        <v>4.7794195060156905</v>
      </c>
      <c r="AH30">
        <f t="shared" si="13"/>
        <v>4.930567449857457</v>
      </c>
      <c r="AI30">
        <f t="shared" si="13"/>
        <v>5.5320980446322956</v>
      </c>
      <c r="AJ30">
        <f t="shared" si="13"/>
        <v>5.0986869108374329</v>
      </c>
      <c r="AK30">
        <f t="shared" si="13"/>
        <v>5.2528184731874505</v>
      </c>
      <c r="AL30">
        <f t="shared" si="13"/>
        <v>5.0860408590839778</v>
      </c>
      <c r="AM30">
        <f t="shared" si="13"/>
        <v>5.1744832994576582</v>
      </c>
      <c r="AN30">
        <f t="shared" si="13"/>
        <v>5.313341015368497</v>
      </c>
      <c r="AQ30">
        <v>2031</v>
      </c>
    </row>
    <row r="31" spans="1:43" x14ac:dyDescent="0.3">
      <c r="AQ31">
        <v>2032</v>
      </c>
    </row>
    <row r="32" spans="1:43" x14ac:dyDescent="0.3">
      <c r="AQ32">
        <v>2033</v>
      </c>
    </row>
    <row r="33" spans="43:43" x14ac:dyDescent="0.3">
      <c r="AQ33">
        <v>2034</v>
      </c>
    </row>
    <row r="34" spans="43:43" x14ac:dyDescent="0.3">
      <c r="AQ34">
        <v>2035</v>
      </c>
    </row>
    <row r="35" spans="43:43" x14ac:dyDescent="0.3">
      <c r="AQ35">
        <v>2036</v>
      </c>
    </row>
    <row r="36" spans="43:43" x14ac:dyDescent="0.3">
      <c r="AQ36">
        <v>2037</v>
      </c>
    </row>
    <row r="37" spans="43:43" x14ac:dyDescent="0.3">
      <c r="AQ37">
        <v>2038</v>
      </c>
    </row>
    <row r="38" spans="43:43" x14ac:dyDescent="0.3">
      <c r="AQ38">
        <v>2039</v>
      </c>
    </row>
    <row r="39" spans="43:43" x14ac:dyDescent="0.3">
      <c r="AQ39">
        <v>2040</v>
      </c>
    </row>
    <row r="40" spans="43:43" x14ac:dyDescent="0.3">
      <c r="AQ40">
        <v>2041</v>
      </c>
    </row>
    <row r="41" spans="43:43" x14ac:dyDescent="0.3">
      <c r="AQ41">
        <v>2042</v>
      </c>
    </row>
    <row r="42" spans="43:43" x14ac:dyDescent="0.3">
      <c r="AQ42">
        <v>2043</v>
      </c>
    </row>
    <row r="43" spans="43:43" x14ac:dyDescent="0.3">
      <c r="AQ43">
        <v>2044</v>
      </c>
    </row>
    <row r="44" spans="43:43" x14ac:dyDescent="0.3">
      <c r="AQ44">
        <v>2045</v>
      </c>
    </row>
    <row r="45" spans="43:43" x14ac:dyDescent="0.3">
      <c r="AQ45">
        <v>2046</v>
      </c>
    </row>
    <row r="46" spans="43:43" x14ac:dyDescent="0.3">
      <c r="AQ46">
        <v>2047</v>
      </c>
    </row>
    <row r="47" spans="43:43" x14ac:dyDescent="0.3">
      <c r="AQ47">
        <v>2048</v>
      </c>
    </row>
    <row r="48" spans="43:43" x14ac:dyDescent="0.3">
      <c r="AQ48">
        <v>2049</v>
      </c>
    </row>
    <row r="49" spans="43:43" x14ac:dyDescent="0.3">
      <c r="AQ49">
        <v>2050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5437B-B608-41F8-B132-E831C292571E}">
  <dimension ref="A1:B4"/>
  <sheetViews>
    <sheetView tabSelected="1" workbookViewId="0">
      <selection activeCell="B5" sqref="B5"/>
    </sheetView>
  </sheetViews>
  <sheetFormatPr baseColWidth="10" defaultRowHeight="15.6" x14ac:dyDescent="0.3"/>
  <cols>
    <col min="2" max="2" width="55.69921875" customWidth="1"/>
  </cols>
  <sheetData>
    <row r="1" spans="1:2" ht="16.8" customHeight="1" x14ac:dyDescent="0.3">
      <c r="B1" t="s">
        <v>32</v>
      </c>
    </row>
    <row r="2" spans="1:2" x14ac:dyDescent="0.3">
      <c r="A2" t="s">
        <v>30</v>
      </c>
      <c r="B2">
        <f>USA!BH16/USA!BH49</f>
        <v>2.0922900372779134</v>
      </c>
    </row>
    <row r="3" spans="1:2" x14ac:dyDescent="0.3">
      <c r="A3" t="s">
        <v>31</v>
      </c>
      <c r="B3">
        <f>Ouganda!BH48/Ouganda!BH15</f>
        <v>1.1412131153043854</v>
      </c>
    </row>
    <row r="4" spans="1:2" x14ac:dyDescent="0.3">
      <c r="A4" t="s">
        <v>16</v>
      </c>
      <c r="B4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USA</vt:lpstr>
      <vt:lpstr>Ouganda</vt:lpstr>
      <vt:lpstr>Norvège</vt:lpstr>
      <vt:lpstr>Monde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Lucille</cp:lastModifiedBy>
  <dcterms:created xsi:type="dcterms:W3CDTF">2020-01-15T11:29:30Z</dcterms:created>
  <dcterms:modified xsi:type="dcterms:W3CDTF">2020-01-20T17:18:44Z</dcterms:modified>
</cp:coreProperties>
</file>